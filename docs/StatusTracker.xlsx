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showInkAnnotation="0"/>
  <mc:AlternateContent xmlns:mc="http://schemas.openxmlformats.org/markup-compatibility/2006">
    <mc:Choice Requires="x15">
      <x15ac:absPath xmlns:x15ac="http://schemas.microsoft.com/office/spreadsheetml/2010/11/ac" url="D:\working\waccache\SG2PEPF000DE4C1\EXCELCNV\495c7a31-2417-4a3c-8caa-97db755c3852\"/>
    </mc:Choice>
  </mc:AlternateContent>
  <xr:revisionPtr revIDLastSave="0" documentId="8_{C6F8C60A-1368-4E41-A760-E0731054A50E}" xr6:coauthVersionLast="47" xr6:coauthVersionMax="47" xr10:uidLastSave="{00000000-0000-0000-0000-000000000000}"/>
  <bookViews>
    <workbookView xWindow="-60" yWindow="-60" windowWidth="15480" windowHeight="11640" firstSheet="1" activeTab="1" xr2:uid="{E74D1A63-A92B-4C7C-AF85-17C67038619B}"/>
  </bookViews>
  <sheets>
    <sheet name="Instructions" sheetId="5" r:id="rId1"/>
    <sheet name="Status" sheetId="1"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1" l="1"/>
  <c r="I46" i="1"/>
  <c r="A1" i="1"/>
  <c r="B1" i="1"/>
  <c r="A2" i="1"/>
  <c r="B2" i="1"/>
  <c r="A3" i="1"/>
  <c r="B3"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H22" i="1"/>
  <c r="I22" i="1"/>
  <c r="H23" i="1"/>
  <c r="I23" i="1"/>
  <c r="H24" i="1"/>
  <c r="I24" i="1"/>
  <c r="H25" i="1"/>
  <c r="I25" i="1"/>
  <c r="H26" i="1"/>
  <c r="I26" i="1"/>
  <c r="H27" i="1"/>
  <c r="I27" i="1"/>
  <c r="H28" i="1"/>
  <c r="I28" i="1"/>
  <c r="H29" i="1"/>
  <c r="I29" i="1"/>
  <c r="H30" i="1"/>
  <c r="I30" i="1"/>
  <c r="H31" i="1"/>
  <c r="I31" i="1"/>
  <c r="H32" i="1"/>
  <c r="I32" i="1"/>
  <c r="H33" i="1"/>
  <c r="I33" i="1"/>
  <c r="H34" i="1"/>
  <c r="I34" i="1"/>
  <c r="H35" i="1"/>
  <c r="I35" i="1"/>
  <c r="I36" i="1"/>
  <c r="H37" i="1"/>
  <c r="I37" i="1"/>
  <c r="H38" i="1"/>
  <c r="I38" i="1"/>
  <c r="H39" i="1"/>
  <c r="I39" i="1"/>
  <c r="H40" i="1"/>
  <c r="I40" i="1"/>
  <c r="H41" i="1"/>
  <c r="I41" i="1"/>
  <c r="H42" i="1"/>
  <c r="I42" i="1"/>
  <c r="H43" i="1"/>
  <c r="I43" i="1"/>
  <c r="H44" i="1"/>
  <c r="I44" i="1"/>
  <c r="H45" i="1"/>
  <c r="I45" i="1"/>
  <c r="H47" i="1"/>
  <c r="I47" i="1"/>
  <c r="H48" i="1"/>
  <c r="I48" i="1"/>
  <c r="H49" i="1"/>
  <c r="I49" i="1"/>
  <c r="H50" i="1"/>
  <c r="I50" i="1"/>
  <c r="H51" i="1"/>
  <c r="I51" i="1"/>
  <c r="H52" i="1"/>
  <c r="I52" i="1"/>
  <c r="H53" i="1"/>
  <c r="I53" i="1"/>
  <c r="H54" i="1"/>
  <c r="I54" i="1"/>
  <c r="H55" i="1"/>
  <c r="I55" i="1"/>
  <c r="H56" i="1"/>
  <c r="I56" i="1"/>
  <c r="H57" i="1"/>
  <c r="I57" i="1"/>
  <c r="H58" i="1"/>
  <c r="I58" i="1"/>
  <c r="H59" i="1"/>
  <c r="I59" i="1"/>
  <c r="H60" i="1"/>
  <c r="I60" i="1"/>
  <c r="H61" i="1"/>
  <c r="I61" i="1"/>
  <c r="H62" i="1"/>
  <c r="I62" i="1"/>
  <c r="H63" i="1"/>
  <c r="I63" i="1"/>
  <c r="H64" i="1"/>
  <c r="I64" i="1"/>
  <c r="H65" i="1"/>
  <c r="I65" i="1"/>
  <c r="H66" i="1"/>
  <c r="I66" i="1"/>
  <c r="H67" i="1"/>
  <c r="I67" i="1"/>
  <c r="H68" i="1"/>
  <c r="I68" i="1"/>
  <c r="H69" i="1"/>
  <c r="I69" i="1"/>
  <c r="H70" i="1"/>
  <c r="I70" i="1"/>
  <c r="H71" i="1"/>
  <c r="I71" i="1"/>
  <c r="H72" i="1"/>
  <c r="I72" i="1"/>
  <c r="H73" i="1"/>
  <c r="I73" i="1"/>
  <c r="H74" i="1"/>
  <c r="I74" i="1"/>
  <c r="H75" i="1"/>
  <c r="I75" i="1"/>
  <c r="H76" i="1"/>
  <c r="I76" i="1"/>
  <c r="H77" i="1"/>
  <c r="I77" i="1"/>
  <c r="H78" i="1"/>
  <c r="I78" i="1"/>
  <c r="H79" i="1"/>
  <c r="I79" i="1"/>
  <c r="H80" i="1"/>
  <c r="I80" i="1"/>
  <c r="H81" i="1"/>
  <c r="I81" i="1"/>
  <c r="H82" i="1"/>
  <c r="I82" i="1"/>
  <c r="H83" i="1"/>
  <c r="I83" i="1"/>
  <c r="H84" i="1"/>
  <c r="I84" i="1"/>
  <c r="H85" i="1"/>
  <c r="I85" i="1"/>
  <c r="H86" i="1"/>
  <c r="I86" i="1"/>
  <c r="H87" i="1"/>
  <c r="I87" i="1"/>
  <c r="H88" i="1"/>
  <c r="I88" i="1"/>
  <c r="H89" i="1"/>
  <c r="I89" i="1"/>
  <c r="H90" i="1"/>
  <c r="I90" i="1"/>
  <c r="H91" i="1"/>
  <c r="I91" i="1"/>
  <c r="H92" i="1"/>
  <c r="I92" i="1"/>
  <c r="H93" i="1"/>
  <c r="I93" i="1"/>
  <c r="H94" i="1"/>
  <c r="I94" i="1"/>
  <c r="H95" i="1"/>
  <c r="I95" i="1"/>
  <c r="H96" i="1"/>
  <c r="I96" i="1"/>
  <c r="H97" i="1"/>
  <c r="I97" i="1"/>
  <c r="H98" i="1"/>
  <c r="I98" i="1"/>
  <c r="H99" i="1"/>
  <c r="I99" i="1"/>
  <c r="H100" i="1"/>
  <c r="I100" i="1"/>
  <c r="H101" i="1"/>
  <c r="I101" i="1"/>
  <c r="H102" i="1"/>
  <c r="I102" i="1"/>
  <c r="H103" i="1"/>
  <c r="I103" i="1"/>
  <c r="H104" i="1"/>
  <c r="I104" i="1"/>
  <c r="H105" i="1"/>
  <c r="I105" i="1"/>
  <c r="H106" i="1"/>
  <c r="I106" i="1"/>
  <c r="H107" i="1"/>
  <c r="I107" i="1"/>
  <c r="H108" i="1"/>
  <c r="I108" i="1"/>
  <c r="H109" i="1"/>
  <c r="I109" i="1"/>
  <c r="H110" i="1"/>
  <c r="I110" i="1"/>
  <c r="H111" i="1"/>
  <c r="I111" i="1"/>
  <c r="H112" i="1"/>
  <c r="I112" i="1"/>
  <c r="H113" i="1"/>
  <c r="I113" i="1"/>
  <c r="H114" i="1"/>
  <c r="I114" i="1"/>
  <c r="H115" i="1"/>
  <c r="I115" i="1"/>
  <c r="H116" i="1"/>
  <c r="I116" i="1"/>
  <c r="H117" i="1"/>
  <c r="I117" i="1"/>
  <c r="H118" i="1"/>
  <c r="I118" i="1"/>
  <c r="H119" i="1"/>
  <c r="I119" i="1"/>
  <c r="H120" i="1"/>
  <c r="I120" i="1"/>
  <c r="H121" i="1"/>
  <c r="I121" i="1"/>
  <c r="H122" i="1"/>
  <c r="I122" i="1"/>
  <c r="H123" i="1"/>
  <c r="I123" i="1"/>
  <c r="H124" i="1"/>
  <c r="I124" i="1"/>
  <c r="H125" i="1"/>
  <c r="I125" i="1"/>
  <c r="H126" i="1"/>
  <c r="I126" i="1"/>
  <c r="H127" i="1"/>
  <c r="I127" i="1"/>
  <c r="H128" i="1"/>
  <c r="I128" i="1"/>
  <c r="H129" i="1"/>
  <c r="I129" i="1"/>
  <c r="H130" i="1"/>
  <c r="I130" i="1"/>
  <c r="H131" i="1"/>
  <c r="I131" i="1"/>
  <c r="H132" i="1"/>
  <c r="I132" i="1"/>
  <c r="H133" i="1"/>
  <c r="I133" i="1"/>
  <c r="H134" i="1"/>
  <c r="I134" i="1"/>
  <c r="H135" i="1"/>
  <c r="I135" i="1"/>
  <c r="H136" i="1"/>
  <c r="I136" i="1"/>
  <c r="H137" i="1"/>
  <c r="I137" i="1"/>
  <c r="H138" i="1"/>
  <c r="I138" i="1"/>
  <c r="H139" i="1"/>
  <c r="I139" i="1"/>
  <c r="H140" i="1"/>
  <c r="I140" i="1"/>
  <c r="H141" i="1"/>
  <c r="I141" i="1"/>
  <c r="H142" i="1"/>
  <c r="I142" i="1"/>
  <c r="H143" i="1"/>
  <c r="I143" i="1"/>
  <c r="H144" i="1"/>
  <c r="I144" i="1"/>
  <c r="H145" i="1"/>
  <c r="I145" i="1"/>
  <c r="H146" i="1"/>
  <c r="I146" i="1"/>
  <c r="H147" i="1"/>
  <c r="I147" i="1"/>
  <c r="H148" i="1"/>
  <c r="I148" i="1"/>
  <c r="H149" i="1"/>
  <c r="I149" i="1"/>
  <c r="H150" i="1"/>
  <c r="I150" i="1"/>
  <c r="H151" i="1"/>
  <c r="I151" i="1"/>
  <c r="H152" i="1"/>
  <c r="I152" i="1"/>
  <c r="H153" i="1"/>
  <c r="I153" i="1"/>
  <c r="H154" i="1"/>
  <c r="I154" i="1"/>
  <c r="H155" i="1"/>
  <c r="I155" i="1"/>
  <c r="H156" i="1"/>
  <c r="I156" i="1"/>
  <c r="H157" i="1"/>
  <c r="I157" i="1"/>
  <c r="H158" i="1"/>
  <c r="I158" i="1"/>
  <c r="H159" i="1"/>
  <c r="I159" i="1"/>
  <c r="H160" i="1"/>
  <c r="I160" i="1"/>
  <c r="H161" i="1"/>
  <c r="I161" i="1"/>
  <c r="H162" i="1"/>
  <c r="I162" i="1"/>
  <c r="H163" i="1"/>
  <c r="I163" i="1"/>
  <c r="H164" i="1"/>
  <c r="I164" i="1"/>
  <c r="H165" i="1"/>
  <c r="I165" i="1"/>
  <c r="H166" i="1"/>
  <c r="I166" i="1"/>
  <c r="H167" i="1"/>
  <c r="I167" i="1"/>
  <c r="H168" i="1"/>
  <c r="I168" i="1"/>
  <c r="H169" i="1"/>
  <c r="I169" i="1"/>
  <c r="H170" i="1"/>
  <c r="I170" i="1"/>
  <c r="H171" i="1"/>
  <c r="I171" i="1"/>
  <c r="H172" i="1"/>
  <c r="I172" i="1"/>
  <c r="H173" i="1"/>
  <c r="I173" i="1"/>
  <c r="H174" i="1"/>
  <c r="I174" i="1"/>
  <c r="H175" i="1"/>
  <c r="I175" i="1"/>
  <c r="H176" i="1"/>
  <c r="I176" i="1"/>
  <c r="H177" i="1"/>
  <c r="I177" i="1"/>
  <c r="H178" i="1"/>
  <c r="I178" i="1"/>
  <c r="H179" i="1"/>
  <c r="I179" i="1"/>
  <c r="H180" i="1"/>
  <c r="I180" i="1"/>
  <c r="H181" i="1"/>
  <c r="I181" i="1"/>
  <c r="H182" i="1"/>
  <c r="I182" i="1"/>
  <c r="H183" i="1"/>
  <c r="I183" i="1"/>
  <c r="H184" i="1"/>
  <c r="I184" i="1"/>
  <c r="H185" i="1"/>
  <c r="I185" i="1"/>
  <c r="H186" i="1"/>
  <c r="I186" i="1"/>
  <c r="H187" i="1"/>
  <c r="I187" i="1"/>
  <c r="H188" i="1"/>
  <c r="I188" i="1"/>
  <c r="H189" i="1"/>
  <c r="I189" i="1"/>
  <c r="H190" i="1"/>
  <c r="I190" i="1"/>
  <c r="H191" i="1"/>
  <c r="I191" i="1"/>
  <c r="H192" i="1"/>
  <c r="I192" i="1"/>
  <c r="H193" i="1"/>
  <c r="I193" i="1"/>
  <c r="H194" i="1"/>
  <c r="I194" i="1"/>
  <c r="H195" i="1"/>
  <c r="I195" i="1"/>
  <c r="H196" i="1"/>
  <c r="I196" i="1"/>
  <c r="H197" i="1"/>
  <c r="I197" i="1"/>
  <c r="H198" i="1"/>
  <c r="I198" i="1"/>
  <c r="H199" i="1"/>
  <c r="I199" i="1"/>
  <c r="H200" i="1"/>
  <c r="I200" i="1"/>
  <c r="H201" i="1"/>
  <c r="I201" i="1"/>
  <c r="H202" i="1"/>
  <c r="I202" i="1"/>
  <c r="H203" i="1"/>
  <c r="I203" i="1"/>
  <c r="H204" i="1"/>
  <c r="I204" i="1"/>
  <c r="H205" i="1"/>
  <c r="I205" i="1"/>
  <c r="H206" i="1"/>
  <c r="I206" i="1"/>
  <c r="I207" i="1"/>
  <c r="I208" i="1"/>
  <c r="I209" i="1"/>
  <c r="I210" i="1"/>
  <c r="I211" i="1"/>
  <c r="I212" i="1"/>
  <c r="I2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author>
    <author>swami</author>
  </authors>
  <commentList>
    <comment ref="C5" authorId="0" shapeId="0" xr:uid="{2E13F7C4-2D63-40CD-976B-3616C18E10A3}">
      <text>
        <r>
          <rPr>
            <b/>
            <sz val="8"/>
            <rFont val="Tahoma"/>
            <family val="2"/>
          </rPr>
          <t>SE:</t>
        </r>
        <r>
          <rPr>
            <sz val="8"/>
            <rFont val="Tahoma"/>
            <family val="2"/>
          </rPr>
          <t xml:space="preserve">
The person responsible for ensuring completion, not necessarily all the people doing it</t>
        </r>
      </text>
    </comment>
    <comment ref="G5" authorId="1" shapeId="0" xr:uid="{8FE389D9-6194-42A2-AD85-34467976A888}">
      <text>
        <r>
          <rPr>
            <b/>
            <sz val="8"/>
            <rFont val="Tahoma"/>
            <family val="2"/>
          </rPr>
          <t>swami:</t>
        </r>
        <r>
          <rPr>
            <sz val="8"/>
            <rFont val="Tahoma"/>
            <family val="2"/>
          </rPr>
          <t xml:space="preserve">
Insert your own comments</t>
        </r>
      </text>
    </comment>
    <comment ref="H5" authorId="0" shapeId="0" xr:uid="{130E3E4C-8AAE-4CC5-89FC-A2596676BED6}">
      <text>
        <r>
          <rPr>
            <b/>
            <sz val="8"/>
            <rFont val="Tahoma"/>
            <family val="2"/>
          </rPr>
          <t>SE:</t>
        </r>
        <r>
          <rPr>
            <sz val="8"/>
            <rFont val="Tahoma"/>
            <family val="2"/>
          </rPr>
          <t xml:space="preserve">
This field is updated automatically</t>
        </r>
      </text>
    </comment>
  </commentList>
</comments>
</file>

<file path=xl/sharedStrings.xml><?xml version="1.0" encoding="utf-8"?>
<sst xmlns="http://schemas.openxmlformats.org/spreadsheetml/2006/main" count="175" uniqueCount="95">
  <si>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</si>
  <si>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</si>
  <si>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</si>
  <si>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</si>
  <si>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</si>
  <si>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</si>
  <si>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</si>
  <si>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</si>
  <si>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</si>
  <si>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</si>
  <si>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</si>
  <si>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</si>
  <si>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</si>
  <si>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</si>
  <si>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Room Booking Portal</t>
  </si>
  <si>
    <t>PROJECT MENTOR (sponsor)</t>
  </si>
  <si>
    <t>Santhosh</t>
  </si>
  <si>
    <t>TEAM MEMBERS</t>
  </si>
  <si>
    <t>Harshit Singh Mehta</t>
  </si>
  <si>
    <t>Haaris Mohammed Iqbal</t>
  </si>
  <si>
    <t>Ishaan Shiv Kumar</t>
  </si>
  <si>
    <t>Mahanth Reddy</t>
  </si>
  <si>
    <t>Chanakya Manikanta Reddy Arumalla</t>
  </si>
  <si>
    <t>Activity Name</t>
  </si>
  <si>
    <t>Type</t>
  </si>
  <si>
    <t>Responsible</t>
  </si>
  <si>
    <t>Estimated Team Hours</t>
  </si>
  <si>
    <t>Actual Hours</t>
  </si>
  <si>
    <t>Status</t>
  </si>
  <si>
    <t>Comments</t>
  </si>
  <si>
    <t>Estimation error</t>
  </si>
  <si>
    <t>Estimation error %</t>
  </si>
  <si>
    <t xml:space="preserve">    See Instructions sheet for usage</t>
  </si>
  <si>
    <t>Week 1 (January 16-  January 21)</t>
  </si>
  <si>
    <t>Fix meeting with client</t>
  </si>
  <si>
    <t>Coordination</t>
  </si>
  <si>
    <t>Harshit</t>
  </si>
  <si>
    <t>Done</t>
  </si>
  <si>
    <t>Discuss alternate stacks</t>
  </si>
  <si>
    <t>Preparation</t>
  </si>
  <si>
    <t>Mahanth</t>
  </si>
  <si>
    <t>Discussed possibility of using a JavaScript stack instead of PHP</t>
  </si>
  <si>
    <t>Team Meeting</t>
  </si>
  <si>
    <t>Haaris</t>
  </si>
  <si>
    <t>Discussed questions to ask client</t>
  </si>
  <si>
    <t>Client meeting</t>
  </si>
  <si>
    <t>-</t>
  </si>
  <si>
    <t>Set roles</t>
  </si>
  <si>
    <t>Project synopsis writeup</t>
  </si>
  <si>
    <t>Documentation</t>
  </si>
  <si>
    <t>Chanakya</t>
  </si>
  <si>
    <t>Week 2 (January 22 - January  28)</t>
  </si>
  <si>
    <t>Backend Demo</t>
  </si>
  <si>
    <t>Ishaan, Haaris, Chanakya</t>
  </si>
  <si>
    <t>Frontend Demo</t>
  </si>
  <si>
    <t>Harshit, Mahanth</t>
  </si>
  <si>
    <t>Mahanth, Chanakya</t>
  </si>
  <si>
    <t>Discussed and tested prototypes to show to client in meet</t>
  </si>
  <si>
    <t>Client Meeting</t>
  </si>
  <si>
    <t>Changed frequency of meeting to biweekly</t>
  </si>
  <si>
    <t>Week 3 (January 29 - February 4)</t>
  </si>
  <si>
    <t>Backend Setup</t>
  </si>
  <si>
    <t>Development</t>
  </si>
  <si>
    <t>Ishaan, Mahanth, Chanakya</t>
  </si>
  <si>
    <t>Week 4 (February 5 - February 11)</t>
  </si>
  <si>
    <t>Status Tracker</t>
  </si>
  <si>
    <t>Requirements Document</t>
  </si>
  <si>
    <t>Testing</t>
  </si>
  <si>
    <t>Week 5 (February 12 - February 18)</t>
  </si>
  <si>
    <t>project plan</t>
  </si>
  <si>
    <t>Harshit,Haaris,Ishaan</t>
  </si>
  <si>
    <t>Week 6 (February 19 - February 25)</t>
  </si>
  <si>
    <t>Software Requirements specifications</t>
  </si>
  <si>
    <t>Harshit, Mahanth,Chanakya</t>
  </si>
  <si>
    <t>Ishaan,Haaris</t>
  </si>
  <si>
    <t xml:space="preserve">Week 7 (February 26 - March 4) </t>
  </si>
  <si>
    <t>Test plan</t>
  </si>
  <si>
    <t>Mahanth, Ishaan</t>
  </si>
  <si>
    <t>Harshit,Haaris</t>
  </si>
  <si>
    <t>Frontend Development started</t>
  </si>
  <si>
    <t xml:space="preserve">Backend Develpoment Started </t>
  </si>
  <si>
    <t xml:space="preserve">Week 9 (March 5 - March 11) </t>
  </si>
  <si>
    <t>Pushed R1 Frontend</t>
  </si>
  <si>
    <t>Pushed R1 Backend</t>
  </si>
  <si>
    <t>Mahanth, Chanakya, Ishaan</t>
  </si>
  <si>
    <t xml:space="preserve">Week 10 (March 12 - March 19) </t>
  </si>
  <si>
    <t>Refactored Frontend</t>
  </si>
  <si>
    <t xml:space="preserve">Week 11 (March 20 - March 26) </t>
  </si>
  <si>
    <t xml:space="preserve">Week 12 (March 27 - April 2) </t>
  </si>
  <si>
    <t>Development Paused due to Quizzes and other deadlines</t>
  </si>
  <si>
    <t xml:space="preserve">Week 13 (April 3 - April 9) </t>
  </si>
  <si>
    <t>Ishaan, Haaris</t>
  </si>
  <si>
    <t xml:space="preserve">Week 14 (April 10 - April 16) </t>
  </si>
  <si>
    <t>Pushed Notification feature</t>
  </si>
  <si>
    <t>Planned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</si>
</sst>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font>
    <font>
      <b/>
      <sz val="12"/>
      <name val="Arial"/>
      <family val="2"/>
    </font>
    <font>
      <b/>
      <sz val="14"/>
      <name val="Arial"/>
      <family val="2"/>
    </font>
    <font>
      <sz val="14"/>
      <name val="Arial"/>
      <family val="2"/>
    </font>
    <font>
      <b/>
      <sz val="10"/>
      <name val="Arial"/>
      <family val="2"/>
    </font>
    <font>
      <b/>
      <u/>
      <sz val="12"/>
      <color indexed="12"/>
      <name val="Arial"/>
      <family val="2"/>
    </font>
    <font>
      <sz val="14"/>
      <color indexed="39"/>
      <name val="Arial"/>
      <family val="2"/>
    </font>
    <font>
      <u/>
      <sz val="10"/>
      <color indexed="12"/>
      <name val="Arial"/>
      <family val="2"/>
    </font>
    <font>
      <b/>
      <sz val="8"/>
      <name val="Tahoma"/>
      <family val="2"/>
    </font>
    <font>
      <sz val="8"/>
      <name val="Tahoma"/>
      <family val="2"/>
    </font>
  </fonts>
  <fills count="6">
    <fill>
      <patternFill patternType="none"/>
    </fill>
    <fill>
      <patternFill patternType="gray125"/>
    </fill>
    <fill>
      <patternFill patternType="solid">
        <fgColor indexed="47"/>
        <bgColor indexed="64"/>
      </patternFill>
    </fill>
    <fill>
      <patternFill patternType="solid">
        <fgColor indexed="55"/>
        <bgColor indexed="64"/>
      </patternFill>
    </fill>
    <fill>
      <patternFill patternType="solid">
        <fgColor indexed="13"/>
        <bgColor indexed="64"/>
      </patternFill>
    </fill>
    <fill>
      <patternFill patternType="solid">
        <fgColor theme="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33">
    <xf numFmtId="0" fontId="0" fillId="0" borderId="0" xfId="0"/>
    <xf numFmtId="0" fontId="0" fillId="0" borderId="0" xfId="0" applyAlignment="1">
      <alignment vertical="center"/>
    </xf>
    <xf numFmtId="0" fontId="1" fillId="4" borderId="0" xfId="0" applyFont="1" applyFill="1" applyAlignment="1">
      <alignment vertical="center"/>
    </xf>
    <xf numFmtId="0" fontId="0" fillId="3" borderId="0" xfId="0" applyFill="1"/>
    <xf numFmtId="0" fontId="0" fillId="0" borderId="0" xfId="0" applyAlignment="1">
      <alignment horizontal="center"/>
    </xf>
    <xf numFmtId="49" fontId="0" fillId="0" borderId="0" xfId="0" applyNumberFormat="1" applyAlignment="1">
      <alignment horizontal="center"/>
    </xf>
    <xf numFmtId="0" fontId="0" fillId="2" borderId="0" xfId="0" applyFill="1" applyAlignment="1">
      <alignment horizontal="center"/>
    </xf>
    <xf numFmtId="0" fontId="2" fillId="0" borderId="0" xfId="0" applyFont="1"/>
    <xf numFmtId="0" fontId="3" fillId="0" borderId="0" xfId="0" applyFont="1"/>
    <xf numFmtId="0" fontId="4" fillId="3" borderId="0" xfId="0" applyFont="1" applyFill="1" applyAlignment="1">
      <alignment vertical="center"/>
    </xf>
    <xf numFmtId="0" fontId="4" fillId="3" borderId="0" xfId="0" applyFont="1" applyFill="1" applyAlignment="1">
      <alignment horizontal="center" vertical="center"/>
    </xf>
    <xf numFmtId="49" fontId="4"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xf>
    <xf numFmtId="49" fontId="4" fillId="2" borderId="0" xfId="0" applyNumberFormat="1" applyFont="1" applyFill="1" applyAlignment="1">
      <alignment horizontal="center" vertical="center" wrapText="1"/>
    </xf>
    <xf numFmtId="0" fontId="5" fillId="4" borderId="0" xfId="1" applyFont="1" applyFill="1" applyAlignment="1" applyProtection="1">
      <alignment vertical="center"/>
    </xf>
    <xf numFmtId="0" fontId="1" fillId="4" borderId="0" xfId="0" applyFont="1" applyFill="1" applyAlignment="1">
      <alignment horizontal="center" vertical="center"/>
    </xf>
    <xf numFmtId="49" fontId="1" fillId="4" borderId="0" xfId="0" applyNumberFormat="1" applyFont="1" applyFill="1" applyAlignment="1">
      <alignment horizontal="center" vertical="center"/>
    </xf>
    <xf numFmtId="0" fontId="4" fillId="3" borderId="0" xfId="0" applyFont="1" applyFill="1"/>
    <xf numFmtId="0" fontId="0" fillId="3" borderId="0" xfId="0" applyFill="1" applyAlignment="1">
      <alignment horizontal="center"/>
    </xf>
    <xf numFmtId="0" fontId="4" fillId="3" borderId="0" xfId="0" applyFont="1" applyFill="1" applyAlignment="1">
      <alignment horizontal="center"/>
    </xf>
    <xf numFmtId="49" fontId="0" fillId="3" borderId="0" xfId="0" applyNumberFormat="1" applyFill="1" applyAlignment="1">
      <alignment horizontal="center"/>
    </xf>
    <xf numFmtId="0" fontId="4" fillId="2" borderId="0" xfId="0" applyFont="1" applyFill="1" applyAlignment="1">
      <alignment horizontal="center"/>
    </xf>
    <xf numFmtId="0" fontId="0" fillId="0" borderId="0" xfId="0" applyFill="1"/>
    <xf numFmtId="0" fontId="0" fillId="0" borderId="0" xfId="0" applyFont="1" applyFill="1" applyAlignment="1">
      <alignment horizontal="center"/>
    </xf>
    <xf numFmtId="0" fontId="0" fillId="0" borderId="0" xfId="0" applyFill="1" applyAlignment="1">
      <alignment horizontal="center"/>
    </xf>
    <xf numFmtId="49" fontId="0" fillId="0" borderId="0" xfId="0" applyNumberFormat="1" applyFill="1" applyAlignment="1">
      <alignment horizontal="center"/>
    </xf>
    <xf numFmtId="0" fontId="0" fillId="0" borderId="0" xfId="0" applyFill="1" applyAlignment="1">
      <alignment horizontal="left"/>
    </xf>
    <xf numFmtId="0" fontId="0" fillId="0" borderId="0" xfId="0" applyAlignment="1">
      <alignment wrapText="1"/>
    </xf>
    <xf numFmtId="0" fontId="0" fillId="0" borderId="0" xfId="0" applyFont="1" applyAlignment="1">
      <alignment horizontal="center"/>
    </xf>
    <xf numFmtId="0" fontId="0" fillId="3" borderId="0" xfId="0" applyFont="1" applyFill="1" applyAlignment="1">
      <alignment horizontal="center"/>
    </xf>
    <xf numFmtId="0" fontId="0" fillId="0" borderId="0" xfId="0" applyFill="1" applyAlignment="1">
      <alignment horizontal="left" vertical="center"/>
    </xf>
    <xf numFmtId="0" fontId="0" fillId="5" borderId="0" xfId="0" applyFill="1"/>
    <xf numFmtId="0" fontId="6" fillId="0" borderId="0" xfId="0" applyFont="1"/>
  </cellXfs>
  <cellStyles count="2">
    <cellStyle name="Hyperlink" xfId="1" builtinId="8"/>
    <cellStyle name="Normal" xfId="0" builtinId="0"/>
  </cellStyles>
  <dxfs count="42">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
      <fill>
        <patternFill patternType="solid">
          <fgColor indexed="64"/>
          <bgColor indexed="13"/>
        </patternFill>
      </fill>
    </dxf>
    <dxf>
      <fill>
        <patternFill patternType="solid">
          <fgColor indexed="64"/>
          <bgColor indexed="17"/>
        </patternFill>
      </fill>
    </dxf>
    <dxf>
      <font>
        <b val="0"/>
        <condense val="0"/>
        <extend val="0"/>
        <color auto="1"/>
      </font>
      <fill>
        <patternFill patternType="solid">
          <fgColor indexed="64"/>
          <bgColor indexed="1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15A4-1F6E-460C-9651-414EA71DEDB8}">
  <dimension ref="A1:C27"/>
  <sheetViews>
    <sheetView workbookViewId="0">
      <selection activeCell="B23" sqref="B23"/>
    </sheetView>
  </sheetViews>
  <sheetFormatPr defaultColWidth="8.7109375" defaultRowHeight="12.75"/>
  <cols>
    <col min="1" max="1" width="40" customWidth="1"/>
    <col min="2" max="2" width="50.28515625" customWidth="1"/>
  </cols>
  <sheetData>
    <row r="1" spans="1:3" ht="18">
      <c r="A1" s="4"/>
      <c r="C1" s="7" t="s">
        <v>0</v>
      </c>
    </row>
    <row r="2" spans="1:3" ht="18">
      <c r="A2" s="4"/>
      <c r="C2" s="7"/>
    </row>
    <row r="3" spans="1:3">
      <c r="A3" t="s">
        <v>1</v>
      </c>
    </row>
    <row r="4" spans="1:3">
      <c r="A4" t="s">
        <v>2</v>
      </c>
    </row>
    <row r="5" spans="1:3">
      <c r="A5" t="s">
        <v>3</v>
      </c>
    </row>
    <row r="6" spans="1:3">
      <c r="B6" t="s">
        <v>4</v>
      </c>
    </row>
    <row r="7" spans="1:3">
      <c r="B7" t="s">
        <v>5</v>
      </c>
    </row>
    <row r="8" spans="1:3">
      <c r="A8" t="s">
        <v>6</v>
      </c>
    </row>
    <row r="9" spans="1:3">
      <c r="A9" t="s">
        <v>7</v>
      </c>
    </row>
    <row r="11" spans="1:3">
      <c r="A11" t="s">
        <v>8</v>
      </c>
    </row>
    <row r="13" spans="1:3">
      <c r="A13" t="s">
        <v>9</v>
      </c>
    </row>
    <row r="14" spans="1:3">
      <c r="B14" t="s">
        <v>10</v>
      </c>
    </row>
    <row r="15" spans="1:3">
      <c r="B15" t="s">
        <v>11</v>
      </c>
    </row>
    <row r="19" spans="1:2" ht="31.15" customHeight="1">
      <c r="A19" s="7" t="s">
        <v>12</v>
      </c>
      <c r="B19" s="32">
        <v>9</v>
      </c>
    </row>
    <row r="20" spans="1:2" ht="25.9" customHeight="1">
      <c r="A20" s="7" t="s">
        <v>13</v>
      </c>
      <c r="B20" s="32" t="s">
        <v>14</v>
      </c>
    </row>
    <row r="21" spans="1:2" ht="25.9" customHeight="1">
      <c r="A21" s="7" t="s">
        <v>15</v>
      </c>
      <c r="B21" s="32" t="s">
        <v>16</v>
      </c>
    </row>
    <row r="22" spans="1:2" ht="37.9" customHeight="1">
      <c r="A22" s="7" t="s">
        <v>17</v>
      </c>
      <c r="B22" s="32" t="s">
        <v>18</v>
      </c>
    </row>
    <row r="23" spans="1:2" ht="18">
      <c r="B23" s="32" t="s">
        <v>19</v>
      </c>
    </row>
    <row r="24" spans="1:2" ht="18">
      <c r="B24" s="32" t="s">
        <v>20</v>
      </c>
    </row>
    <row r="25" spans="1:2" ht="18">
      <c r="B25" s="32" t="s">
        <v>21</v>
      </c>
    </row>
    <row r="26" spans="1:2" ht="18">
      <c r="B26" s="32" t="s">
        <v>22</v>
      </c>
    </row>
    <row r="27" spans="1:2" ht="18">
      <c r="B27" s="32"/>
    </row>
  </sheetData>
  <pageMargins left="0.75" right="0.75" top="1" bottom="1" header="0.5" footer="0.5"/>
  <pageSetup paperSize="9"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F860-B139-4801-B53E-7713818F25FA}">
  <dimension ref="A1:I213"/>
  <sheetViews>
    <sheetView tabSelected="1" topLeftCell="A36" zoomScale="85" workbookViewId="0">
      <selection activeCell="C58" sqref="C58"/>
    </sheetView>
  </sheetViews>
  <sheetFormatPr defaultColWidth="8.7109375" defaultRowHeight="12.75" outlineLevelRow="2"/>
  <cols>
    <col min="1" max="1" width="26.7109375" customWidth="1"/>
    <col min="2" max="2" width="47.7109375" customWidth="1"/>
    <col min="3" max="3" width="13.28515625" style="4" customWidth="1"/>
    <col min="4" max="4" width="11" style="4" customWidth="1"/>
    <col min="5" max="5" width="11.28515625" style="4" customWidth="1"/>
    <col min="6" max="6" width="12.28515625" style="5" customWidth="1"/>
    <col min="7" max="7" width="48.28515625" customWidth="1"/>
    <col min="8" max="9" width="11.28515625" style="6" customWidth="1"/>
  </cols>
  <sheetData>
    <row r="1" spans="1:9" ht="25.15" customHeight="1">
      <c r="A1" s="7" t="str">
        <f>(Instructions!A19)</f>
        <v>PROJECT NUMBER</v>
      </c>
      <c r="B1" s="8">
        <f>(Instructions!B19)</f>
        <v>9</v>
      </c>
    </row>
    <row r="2" spans="1:9" ht="25.9" customHeight="1">
      <c r="A2" s="7" t="str">
        <f>(Instructions!A20)</f>
        <v>PROJECT NAME</v>
      </c>
      <c r="B2" s="8" t="str">
        <f>(Instructions!B20)</f>
        <v>Room Booking Portal</v>
      </c>
    </row>
    <row r="3" spans="1:9" ht="31.15" customHeight="1">
      <c r="A3" s="7" t="str">
        <f>(Instructions!A21)</f>
        <v>PROJECT MENTOR (sponsor)</v>
      </c>
      <c r="B3" s="8" t="str">
        <f>(Instructions!B21)</f>
        <v>Santhosh</v>
      </c>
    </row>
    <row r="5" spans="1:9" s="1" customFormat="1" ht="38.25">
      <c r="A5" s="9" t="s">
        <v>23</v>
      </c>
      <c r="B5" s="9" t="s">
        <v>24</v>
      </c>
      <c r="C5" s="10" t="s">
        <v>25</v>
      </c>
      <c r="D5" s="11" t="s">
        <v>26</v>
      </c>
      <c r="E5" s="11" t="s">
        <v>27</v>
      </c>
      <c r="F5" s="12" t="s">
        <v>28</v>
      </c>
      <c r="G5" s="9" t="s">
        <v>29</v>
      </c>
      <c r="H5" s="13" t="s">
        <v>30</v>
      </c>
      <c r="I5" s="13" t="s">
        <v>31</v>
      </c>
    </row>
    <row r="6" spans="1:9" s="2" customFormat="1" ht="30.75" customHeight="1" outlineLevel="2">
      <c r="A6" s="14" t="s">
        <v>32</v>
      </c>
      <c r="C6" s="15"/>
      <c r="D6" s="15"/>
      <c r="E6" s="15"/>
      <c r="F6" s="16"/>
      <c r="H6" s="15"/>
      <c r="I6" s="15"/>
    </row>
    <row r="7" spans="1:9" outlineLevel="2">
      <c r="A7" s="17" t="s">
        <v>33</v>
      </c>
      <c r="B7" s="3"/>
      <c r="C7" s="18"/>
      <c r="D7" s="19"/>
      <c r="E7" s="19"/>
      <c r="F7" s="20"/>
      <c r="G7" s="3"/>
      <c r="H7" s="21" t="str">
        <f t="shared" ref="H7:H50" si="0">IF(OR(D7="",E7=""),"",D7-E7)</f>
        <v/>
      </c>
      <c r="I7" s="21" t="str">
        <f t="shared" ref="I7:I50" si="1">IF(OR(H7="",E7=0),"",ABS(H7)/E7*100)</f>
        <v/>
      </c>
    </row>
    <row r="8" spans="1:9" outlineLevel="2">
      <c r="A8" s="22" t="s">
        <v>34</v>
      </c>
      <c r="B8" s="22" t="s">
        <v>35</v>
      </c>
      <c r="C8" s="23" t="s">
        <v>36</v>
      </c>
      <c r="D8" s="24">
        <v>0.5</v>
      </c>
      <c r="E8" s="24">
        <v>0.4</v>
      </c>
      <c r="F8" s="25" t="s">
        <v>37</v>
      </c>
      <c r="G8" s="22"/>
      <c r="H8" s="21">
        <f t="shared" si="0"/>
        <v>9.9999999999999978E-2</v>
      </c>
      <c r="I8" s="21">
        <f t="shared" si="1"/>
        <v>24.999999999999993</v>
      </c>
    </row>
    <row r="9" spans="1:9" outlineLevel="2">
      <c r="A9" s="22" t="s">
        <v>38</v>
      </c>
      <c r="B9" s="22" t="s">
        <v>39</v>
      </c>
      <c r="C9" s="23" t="s">
        <v>40</v>
      </c>
      <c r="D9" s="24">
        <v>1</v>
      </c>
      <c r="E9" s="24">
        <v>1</v>
      </c>
      <c r="F9" s="25" t="s">
        <v>37</v>
      </c>
      <c r="G9" s="26" t="s">
        <v>41</v>
      </c>
      <c r="H9" s="21">
        <f t="shared" si="0"/>
        <v>0</v>
      </c>
      <c r="I9" s="21">
        <f t="shared" si="1"/>
        <v>0</v>
      </c>
    </row>
    <row r="10" spans="1:9" outlineLevel="2">
      <c r="A10" s="22" t="s">
        <v>42</v>
      </c>
      <c r="B10" s="22" t="s">
        <v>35</v>
      </c>
      <c r="C10" s="23" t="s">
        <v>43</v>
      </c>
      <c r="D10" s="24">
        <v>2</v>
      </c>
      <c r="E10" s="24">
        <v>1.5</v>
      </c>
      <c r="F10" s="25" t="s">
        <v>37</v>
      </c>
      <c r="G10" s="22" t="s">
        <v>44</v>
      </c>
      <c r="H10" s="21">
        <f t="shared" si="0"/>
        <v>0.5</v>
      </c>
      <c r="I10" s="21">
        <f t="shared" si="1"/>
        <v>33.333333333333329</v>
      </c>
    </row>
    <row r="11" spans="1:9" ht="13.9" customHeight="1" outlineLevel="2">
      <c r="A11" s="27" t="s">
        <v>45</v>
      </c>
      <c r="B11" s="22" t="s">
        <v>35</v>
      </c>
      <c r="C11" s="23" t="s">
        <v>46</v>
      </c>
      <c r="D11" s="24">
        <v>1.5</v>
      </c>
      <c r="E11" s="24">
        <v>1</v>
      </c>
      <c r="F11" s="25" t="s">
        <v>37</v>
      </c>
      <c r="G11" s="22"/>
      <c r="H11" s="21">
        <f t="shared" si="0"/>
        <v>0.5</v>
      </c>
      <c r="I11" s="21">
        <f t="shared" si="1"/>
        <v>50</v>
      </c>
    </row>
    <row r="12" spans="1:9" outlineLevel="2">
      <c r="A12" s="27" t="s">
        <v>47</v>
      </c>
      <c r="B12" s="22" t="s">
        <v>39</v>
      </c>
      <c r="C12" s="28" t="s">
        <v>36</v>
      </c>
      <c r="D12" s="24">
        <v>1</v>
      </c>
      <c r="E12" s="24">
        <v>1</v>
      </c>
      <c r="F12" s="25" t="s">
        <v>37</v>
      </c>
      <c r="G12" s="22"/>
      <c r="H12" s="21">
        <f t="shared" si="0"/>
        <v>0</v>
      </c>
      <c r="I12" s="21">
        <f t="shared" si="1"/>
        <v>0</v>
      </c>
    </row>
    <row r="13" spans="1:9" outlineLevel="2">
      <c r="A13" s="22" t="s">
        <v>48</v>
      </c>
      <c r="B13" s="22" t="s">
        <v>49</v>
      </c>
      <c r="C13" s="23" t="s">
        <v>50</v>
      </c>
      <c r="D13" s="24">
        <v>1.5</v>
      </c>
      <c r="E13" s="24">
        <v>2</v>
      </c>
      <c r="F13" s="25" t="s">
        <v>37</v>
      </c>
      <c r="G13" s="22"/>
      <c r="H13" s="21">
        <f t="shared" si="0"/>
        <v>-0.5</v>
      </c>
      <c r="I13" s="21">
        <f t="shared" si="1"/>
        <v>25</v>
      </c>
    </row>
    <row r="14" spans="1:9" s="3" customFormat="1" outlineLevel="2">
      <c r="A14" s="17" t="s">
        <v>51</v>
      </c>
      <c r="C14" s="29"/>
      <c r="D14" s="29"/>
      <c r="E14" s="18"/>
      <c r="F14" s="20"/>
      <c r="H14" s="21" t="str">
        <f t="shared" si="0"/>
        <v/>
      </c>
      <c r="I14" s="21" t="str">
        <f t="shared" si="1"/>
        <v/>
      </c>
    </row>
    <row r="15" spans="1:9" outlineLevel="2">
      <c r="A15" s="22" t="s">
        <v>52</v>
      </c>
      <c r="B15" s="22" t="s">
        <v>39</v>
      </c>
      <c r="C15" s="24" t="s">
        <v>53</v>
      </c>
      <c r="D15" s="24">
        <v>6</v>
      </c>
      <c r="E15" s="24">
        <v>7</v>
      </c>
      <c r="F15" s="25" t="s">
        <v>37</v>
      </c>
      <c r="G15" s="22"/>
      <c r="H15" s="21">
        <f t="shared" si="0"/>
        <v>-1</v>
      </c>
      <c r="I15" s="21">
        <f t="shared" si="1"/>
        <v>14.285714285714285</v>
      </c>
    </row>
    <row r="16" spans="1:9" outlineLevel="2">
      <c r="A16" s="22" t="s">
        <v>54</v>
      </c>
      <c r="B16" s="22" t="s">
        <v>39</v>
      </c>
      <c r="C16" s="24" t="s">
        <v>55</v>
      </c>
      <c r="D16" s="24">
        <v>5</v>
      </c>
      <c r="E16" s="24">
        <v>4</v>
      </c>
      <c r="F16" s="25" t="s">
        <v>37</v>
      </c>
      <c r="G16" s="22"/>
      <c r="H16" s="21">
        <f t="shared" si="0"/>
        <v>1</v>
      </c>
      <c r="I16" s="21">
        <f t="shared" si="1"/>
        <v>25</v>
      </c>
    </row>
    <row r="17" spans="1:9" outlineLevel="2">
      <c r="A17" s="22" t="s">
        <v>42</v>
      </c>
      <c r="B17" s="22" t="s">
        <v>35</v>
      </c>
      <c r="C17" s="24" t="s">
        <v>56</v>
      </c>
      <c r="D17" s="24">
        <v>1</v>
      </c>
      <c r="E17" s="24">
        <v>1.5</v>
      </c>
      <c r="F17" s="25" t="s">
        <v>37</v>
      </c>
      <c r="G17" s="30" t="s">
        <v>57</v>
      </c>
      <c r="H17" s="21">
        <f t="shared" si="0"/>
        <v>-0.5</v>
      </c>
      <c r="I17" s="21">
        <f t="shared" si="1"/>
        <v>33.333333333333329</v>
      </c>
    </row>
    <row r="18" spans="1:9" outlineLevel="2">
      <c r="A18" s="27" t="s">
        <v>58</v>
      </c>
      <c r="B18" s="22" t="s">
        <v>35</v>
      </c>
      <c r="C18" s="23" t="s">
        <v>46</v>
      </c>
      <c r="D18" s="24">
        <v>1</v>
      </c>
      <c r="E18" s="24">
        <v>1</v>
      </c>
      <c r="F18" s="25" t="s">
        <v>37</v>
      </c>
      <c r="G18" s="22" t="s">
        <v>59</v>
      </c>
      <c r="H18" s="21">
        <f t="shared" si="0"/>
        <v>0</v>
      </c>
      <c r="I18" s="21">
        <f t="shared" si="1"/>
        <v>0</v>
      </c>
    </row>
    <row r="19" spans="1:9" s="3" customFormat="1" outlineLevel="2">
      <c r="A19" s="17" t="s">
        <v>60</v>
      </c>
      <c r="C19" s="29"/>
      <c r="D19" s="29"/>
      <c r="E19" s="18"/>
      <c r="F19" s="20"/>
      <c r="H19" s="21" t="str">
        <f t="shared" si="0"/>
        <v/>
      </c>
      <c r="I19" s="21" t="str">
        <f t="shared" si="1"/>
        <v/>
      </c>
    </row>
    <row r="20" spans="1:9">
      <c r="A20" s="22" t="s">
        <v>61</v>
      </c>
      <c r="B20" s="22" t="s">
        <v>62</v>
      </c>
      <c r="C20" s="24" t="s">
        <v>63</v>
      </c>
      <c r="D20" s="24">
        <v>2</v>
      </c>
      <c r="E20" s="24">
        <v>2.5</v>
      </c>
      <c r="F20" s="25" t="s">
        <v>37</v>
      </c>
      <c r="G20" s="22"/>
      <c r="H20" s="21">
        <f t="shared" si="0"/>
        <v>-0.5</v>
      </c>
      <c r="I20" s="21">
        <f t="shared" si="1"/>
        <v>20</v>
      </c>
    </row>
    <row r="21" spans="1:9">
      <c r="A21" s="17" t="s">
        <v>64</v>
      </c>
      <c r="B21" s="3"/>
      <c r="C21" s="18"/>
      <c r="D21" s="29"/>
      <c r="E21" s="18"/>
      <c r="F21" s="20"/>
      <c r="G21" s="3"/>
      <c r="H21" s="21" t="str">
        <f t="shared" si="0"/>
        <v/>
      </c>
      <c r="I21" s="21" t="str">
        <f t="shared" si="1"/>
        <v/>
      </c>
    </row>
    <row r="22" spans="1:9">
      <c r="A22" t="s">
        <v>65</v>
      </c>
      <c r="B22" s="22" t="s">
        <v>49</v>
      </c>
      <c r="C22" s="4" t="s">
        <v>43</v>
      </c>
      <c r="D22" s="4">
        <v>1</v>
      </c>
      <c r="E22" s="4">
        <v>1</v>
      </c>
      <c r="F22" s="5" t="s">
        <v>37</v>
      </c>
      <c r="H22" s="21">
        <f t="shared" si="0"/>
        <v>0</v>
      </c>
      <c r="I22" s="21">
        <f t="shared" si="1"/>
        <v>0</v>
      </c>
    </row>
    <row r="23" spans="1:9">
      <c r="A23" t="s">
        <v>66</v>
      </c>
      <c r="B23" s="31" t="s">
        <v>67</v>
      </c>
      <c r="C23" s="4" t="s">
        <v>36</v>
      </c>
      <c r="D23" s="4">
        <v>1</v>
      </c>
      <c r="E23" s="4">
        <v>1</v>
      </c>
      <c r="F23" s="5" t="s">
        <v>37</v>
      </c>
      <c r="H23" s="21">
        <f t="shared" si="0"/>
        <v>0</v>
      </c>
      <c r="I23" s="21">
        <f t="shared" si="1"/>
        <v>0</v>
      </c>
    </row>
    <row r="24" spans="1:9">
      <c r="A24" s="17" t="s">
        <v>68</v>
      </c>
      <c r="B24" s="3"/>
      <c r="C24" s="29"/>
      <c r="D24" s="29"/>
      <c r="E24" s="18"/>
      <c r="F24" s="20"/>
      <c r="G24" s="3"/>
      <c r="H24" s="21" t="str">
        <f t="shared" si="0"/>
        <v/>
      </c>
      <c r="I24" s="21" t="str">
        <f t="shared" si="1"/>
        <v/>
      </c>
    </row>
    <row r="25" spans="1:9">
      <c r="A25" t="s">
        <v>65</v>
      </c>
      <c r="B25" t="s">
        <v>49</v>
      </c>
      <c r="C25" s="4" t="s">
        <v>56</v>
      </c>
      <c r="D25" s="4">
        <v>1</v>
      </c>
      <c r="E25" s="4">
        <v>1</v>
      </c>
      <c r="F25" s="5" t="s">
        <v>37</v>
      </c>
      <c r="H25" s="21">
        <f t="shared" si="0"/>
        <v>0</v>
      </c>
      <c r="I25" s="21">
        <f t="shared" si="1"/>
        <v>0</v>
      </c>
    </row>
    <row r="26" spans="1:9">
      <c r="A26" t="s">
        <v>69</v>
      </c>
      <c r="B26" t="s">
        <v>49</v>
      </c>
      <c r="C26" s="4" t="s">
        <v>70</v>
      </c>
      <c r="D26" s="4">
        <v>2</v>
      </c>
      <c r="E26" s="4">
        <v>2</v>
      </c>
      <c r="F26" s="5" t="s">
        <v>37</v>
      </c>
      <c r="H26" s="21">
        <f t="shared" si="0"/>
        <v>0</v>
      </c>
      <c r="I26" s="21">
        <f t="shared" si="1"/>
        <v>0</v>
      </c>
    </row>
    <row r="27" spans="1:9">
      <c r="A27" t="s">
        <v>42</v>
      </c>
      <c r="B27" t="s">
        <v>35</v>
      </c>
      <c r="C27" s="4" t="s">
        <v>53</v>
      </c>
      <c r="D27" s="4">
        <v>1</v>
      </c>
      <c r="E27" s="4">
        <v>1</v>
      </c>
      <c r="F27" s="5" t="s">
        <v>37</v>
      </c>
      <c r="H27" s="21">
        <f t="shared" si="0"/>
        <v>0</v>
      </c>
      <c r="I27" s="21">
        <f t="shared" si="1"/>
        <v>0</v>
      </c>
    </row>
    <row r="28" spans="1:9">
      <c r="A28" s="17" t="s">
        <v>71</v>
      </c>
      <c r="B28" s="3"/>
      <c r="C28" s="29"/>
      <c r="D28" s="29"/>
      <c r="E28" s="18"/>
      <c r="F28" s="20"/>
      <c r="G28" s="3"/>
      <c r="H28" s="21" t="str">
        <f t="shared" si="0"/>
        <v/>
      </c>
      <c r="I28" s="21" t="str">
        <f t="shared" si="1"/>
        <v/>
      </c>
    </row>
    <row r="29" spans="1:9">
      <c r="A29" t="s">
        <v>72</v>
      </c>
      <c r="B29" t="s">
        <v>49</v>
      </c>
      <c r="C29" s="4" t="s">
        <v>73</v>
      </c>
      <c r="D29" s="4">
        <v>2</v>
      </c>
      <c r="E29" s="4">
        <v>2</v>
      </c>
      <c r="F29" s="5" t="s">
        <v>37</v>
      </c>
      <c r="H29" s="21">
        <f t="shared" si="0"/>
        <v>0</v>
      </c>
      <c r="I29" s="21">
        <f t="shared" si="1"/>
        <v>0</v>
      </c>
    </row>
    <row r="30" spans="1:9">
      <c r="A30" t="s">
        <v>45</v>
      </c>
      <c r="B30" t="s">
        <v>35</v>
      </c>
      <c r="C30" s="4" t="s">
        <v>74</v>
      </c>
      <c r="D30" s="4">
        <v>1</v>
      </c>
      <c r="E30" s="4">
        <v>1</v>
      </c>
      <c r="F30" s="5" t="s">
        <v>37</v>
      </c>
      <c r="H30" s="21">
        <f t="shared" si="0"/>
        <v>0</v>
      </c>
      <c r="I30" s="21">
        <f t="shared" si="1"/>
        <v>0</v>
      </c>
    </row>
    <row r="31" spans="1:9">
      <c r="A31" t="s">
        <v>65</v>
      </c>
      <c r="B31" s="22" t="s">
        <v>49</v>
      </c>
      <c r="C31" s="4" t="s">
        <v>36</v>
      </c>
      <c r="D31" s="4">
        <v>1</v>
      </c>
      <c r="E31" s="4">
        <v>1</v>
      </c>
      <c r="F31" s="5" t="s">
        <v>37</v>
      </c>
      <c r="H31" s="21" t="str">
        <f>IF(OR(D32="",E32=""),"",D32-E32)</f>
        <v/>
      </c>
      <c r="I31" s="21" t="str">
        <f>IF(OR(H31="",E32=0),"",ABS(H31)/E32*100)</f>
        <v/>
      </c>
    </row>
    <row r="32" spans="1:9">
      <c r="A32" s="17" t="s">
        <v>75</v>
      </c>
      <c r="B32" s="3"/>
      <c r="C32" s="29"/>
      <c r="D32" s="29"/>
      <c r="E32" s="18"/>
      <c r="F32" s="20"/>
      <c r="G32" s="3"/>
      <c r="H32" s="21">
        <f>IF(OR(D33="",E33=""),"",D33-E33)</f>
        <v>0.5</v>
      </c>
      <c r="I32" s="21">
        <f>IF(OR(H32="",E33=0),"",ABS(H32)/E33*100)</f>
        <v>25</v>
      </c>
    </row>
    <row r="33" spans="1:9">
      <c r="A33" t="s">
        <v>76</v>
      </c>
      <c r="B33" t="s">
        <v>49</v>
      </c>
      <c r="C33" s="4" t="s">
        <v>77</v>
      </c>
      <c r="D33" s="4">
        <v>2.5</v>
      </c>
      <c r="E33" s="4">
        <v>2</v>
      </c>
      <c r="F33" s="5" t="s">
        <v>37</v>
      </c>
      <c r="H33" s="21">
        <f>IF(OR(D34="",E34=""),"",D34-E34)</f>
        <v>0</v>
      </c>
      <c r="I33" s="21">
        <f>IF(OR(H33="",E34=0),"",ABS(H33)/E34*100)</f>
        <v>0</v>
      </c>
    </row>
    <row r="34" spans="1:9">
      <c r="A34" t="s">
        <v>42</v>
      </c>
      <c r="B34" t="s">
        <v>35</v>
      </c>
      <c r="C34" s="4" t="s">
        <v>78</v>
      </c>
      <c r="D34" s="4">
        <v>1</v>
      </c>
      <c r="E34" s="4">
        <v>1</v>
      </c>
      <c r="F34" s="5" t="s">
        <v>37</v>
      </c>
      <c r="H34" s="21" t="str">
        <f>IF(OR(D38="",E38=""),"",D38-E38)</f>
        <v/>
      </c>
      <c r="I34" s="21" t="str">
        <f>IF(OR(H34="",E38=0),"",ABS(H34)/E38*100)</f>
        <v/>
      </c>
    </row>
    <row r="35" spans="1:9">
      <c r="A35" t="s">
        <v>79</v>
      </c>
      <c r="B35" t="s">
        <v>39</v>
      </c>
      <c r="C35" s="4" t="s">
        <v>78</v>
      </c>
      <c r="D35" s="4">
        <v>3</v>
      </c>
      <c r="E35" s="4">
        <v>2.5</v>
      </c>
      <c r="F35" s="5" t="s">
        <v>37</v>
      </c>
      <c r="H35" s="21">
        <f>IF(OR(D36="",E36=""),"",D36-E36)</f>
        <v>0.5</v>
      </c>
      <c r="I35" s="21">
        <f>IF(OR(H35="",E36=0),"",ABS(H35)/E36*100)</f>
        <v>16.666666666666664</v>
      </c>
    </row>
    <row r="36" spans="1:9">
      <c r="A36" t="s">
        <v>80</v>
      </c>
      <c r="B36" t="s">
        <v>39</v>
      </c>
      <c r="C36" s="4" t="s">
        <v>63</v>
      </c>
      <c r="D36" s="4">
        <v>3.5</v>
      </c>
      <c r="E36" s="4">
        <v>3</v>
      </c>
      <c r="F36" s="5" t="s">
        <v>37</v>
      </c>
      <c r="I36" s="21" t="e">
        <f>IF(OR(#REF!="",#REF!=0),"",ABS(#REF!)/#REF!*100)</f>
        <v>#REF!</v>
      </c>
    </row>
    <row r="37" spans="1:9">
      <c r="A37" t="s">
        <v>65</v>
      </c>
      <c r="B37" s="22" t="s">
        <v>49</v>
      </c>
      <c r="C37" s="4" t="s">
        <v>40</v>
      </c>
      <c r="D37" s="4">
        <v>1</v>
      </c>
      <c r="E37" s="4">
        <v>1</v>
      </c>
      <c r="F37" s="5" t="s">
        <v>37</v>
      </c>
      <c r="H37" s="21" t="e">
        <f>IF(OR(#REF!="",#REF!=""),"",#REF!-#REF!)</f>
        <v>#REF!</v>
      </c>
      <c r="I37" s="21" t="e">
        <f>IF(OR(H37="",#REF!=0),"",ABS(H37)/#REF!*100)</f>
        <v>#REF!</v>
      </c>
    </row>
    <row r="38" spans="1:9">
      <c r="A38" s="17" t="s">
        <v>81</v>
      </c>
      <c r="B38" s="3"/>
      <c r="C38" s="29"/>
      <c r="D38" s="29"/>
      <c r="E38" s="18"/>
      <c r="F38" s="20"/>
      <c r="G38" s="3"/>
      <c r="H38" s="21" t="e">
        <f>IF(OR(#REF!="",#REF!=""),"",#REF!-#REF!)</f>
        <v>#REF!</v>
      </c>
      <c r="I38" s="21" t="e">
        <f>IF(OR(H38="",#REF!=0),"",ABS(H38)/#REF!*100)</f>
        <v>#REF!</v>
      </c>
    </row>
    <row r="39" spans="1:9">
      <c r="A39" t="s">
        <v>82</v>
      </c>
      <c r="B39" s="22" t="s">
        <v>62</v>
      </c>
      <c r="C39" s="4" t="s">
        <v>43</v>
      </c>
      <c r="D39" s="4">
        <v>6</v>
      </c>
      <c r="E39" s="4">
        <v>7</v>
      </c>
      <c r="F39" s="5" t="s">
        <v>37</v>
      </c>
      <c r="H39" s="21">
        <f t="shared" si="0"/>
        <v>-1</v>
      </c>
      <c r="I39" s="21">
        <f t="shared" si="1"/>
        <v>14.285714285714285</v>
      </c>
    </row>
    <row r="40" spans="1:9">
      <c r="A40" t="s">
        <v>83</v>
      </c>
      <c r="B40" s="22" t="s">
        <v>62</v>
      </c>
      <c r="C40" s="4" t="s">
        <v>84</v>
      </c>
      <c r="D40" s="4">
        <v>8</v>
      </c>
      <c r="E40" s="4">
        <v>9</v>
      </c>
      <c r="F40" s="5" t="s">
        <v>37</v>
      </c>
      <c r="H40" s="21">
        <f t="shared" si="0"/>
        <v>-1</v>
      </c>
      <c r="I40" s="21">
        <f t="shared" si="1"/>
        <v>11.111111111111111</v>
      </c>
    </row>
    <row r="41" spans="1:9">
      <c r="A41" s="17" t="s">
        <v>85</v>
      </c>
      <c r="B41" s="3"/>
      <c r="C41" s="29"/>
      <c r="D41" s="29"/>
      <c r="E41" s="18"/>
      <c r="F41" s="20"/>
      <c r="G41" s="3"/>
      <c r="H41" s="21" t="str">
        <f t="shared" si="0"/>
        <v/>
      </c>
      <c r="I41" s="21" t="str">
        <f t="shared" si="1"/>
        <v/>
      </c>
    </row>
    <row r="42" spans="1:9">
      <c r="A42" t="s">
        <v>86</v>
      </c>
      <c r="B42" t="s">
        <v>62</v>
      </c>
      <c r="C42" s="4" t="s">
        <v>36</v>
      </c>
      <c r="D42" s="4">
        <v>2</v>
      </c>
      <c r="E42" s="4">
        <v>5</v>
      </c>
      <c r="F42" s="5" t="s">
        <v>37</v>
      </c>
      <c r="H42" s="21">
        <f t="shared" si="0"/>
        <v>-3</v>
      </c>
      <c r="I42" s="21">
        <f t="shared" si="1"/>
        <v>60</v>
      </c>
    </row>
    <row r="43" spans="1:9">
      <c r="A43" s="17" t="s">
        <v>87</v>
      </c>
      <c r="B43" s="3"/>
      <c r="C43" s="29"/>
      <c r="D43" s="29"/>
      <c r="E43" s="18"/>
      <c r="F43" s="20"/>
      <c r="G43" s="3"/>
      <c r="H43" s="21" t="str">
        <f t="shared" si="0"/>
        <v/>
      </c>
      <c r="I43" s="21" t="str">
        <f t="shared" si="1"/>
        <v/>
      </c>
    </row>
    <row r="44" spans="1:9">
      <c r="A44" t="s">
        <v>42</v>
      </c>
      <c r="B44" t="s">
        <v>35</v>
      </c>
      <c r="C44" s="4" t="s">
        <v>56</v>
      </c>
      <c r="D44" s="4">
        <v>1.5</v>
      </c>
      <c r="E44" s="4">
        <v>1</v>
      </c>
      <c r="F44" s="5" t="s">
        <v>37</v>
      </c>
      <c r="H44" s="21">
        <f t="shared" si="0"/>
        <v>0.5</v>
      </c>
      <c r="I44" s="21">
        <f t="shared" si="1"/>
        <v>50</v>
      </c>
    </row>
    <row r="45" spans="1:9">
      <c r="A45" s="17" t="s">
        <v>88</v>
      </c>
      <c r="B45" s="3"/>
      <c r="C45" s="29"/>
      <c r="D45" s="29"/>
      <c r="E45" s="18"/>
      <c r="F45" s="20"/>
      <c r="G45" s="3"/>
      <c r="H45" s="21" t="str">
        <f t="shared" si="0"/>
        <v/>
      </c>
      <c r="I45" s="21" t="str">
        <f t="shared" si="1"/>
        <v/>
      </c>
    </row>
    <row r="46" spans="1:9">
      <c r="G46" t="s">
        <v>89</v>
      </c>
      <c r="H46" s="21" t="str">
        <f t="shared" si="0"/>
        <v/>
      </c>
      <c r="I46" s="21" t="str">
        <f t="shared" si="1"/>
        <v/>
      </c>
    </row>
    <row r="47" spans="1:9">
      <c r="A47" s="17" t="s">
        <v>90</v>
      </c>
      <c r="B47" s="3"/>
      <c r="C47" s="29"/>
      <c r="D47" s="29"/>
      <c r="E47" s="18"/>
      <c r="F47" s="20"/>
      <c r="G47" s="3"/>
      <c r="H47" s="21" t="str">
        <f t="shared" si="0"/>
        <v/>
      </c>
      <c r="I47" s="21" t="str">
        <f t="shared" si="1"/>
        <v/>
      </c>
    </row>
    <row r="48" spans="1:9">
      <c r="A48" t="s">
        <v>42</v>
      </c>
      <c r="B48" t="s">
        <v>35</v>
      </c>
      <c r="C48" s="4" t="s">
        <v>91</v>
      </c>
      <c r="D48" s="4">
        <v>1</v>
      </c>
      <c r="E48" s="4">
        <v>1</v>
      </c>
      <c r="F48" s="5" t="s">
        <v>37</v>
      </c>
      <c r="H48" s="21">
        <f t="shared" si="0"/>
        <v>0</v>
      </c>
      <c r="I48" s="21">
        <f t="shared" si="1"/>
        <v>0</v>
      </c>
    </row>
    <row r="49" spans="1:9">
      <c r="A49" s="17" t="s">
        <v>92</v>
      </c>
      <c r="B49" s="3"/>
      <c r="C49" s="29"/>
      <c r="D49" s="29"/>
      <c r="E49" s="18"/>
      <c r="F49" s="20"/>
      <c r="G49" s="3"/>
      <c r="H49" s="21" t="str">
        <f t="shared" si="0"/>
        <v/>
      </c>
      <c r="I49" s="21" t="str">
        <f t="shared" si="1"/>
        <v/>
      </c>
    </row>
    <row r="50" spans="1:9">
      <c r="A50" t="s">
        <v>93</v>
      </c>
      <c r="B50" t="s">
        <v>62</v>
      </c>
      <c r="C50" s="4" t="s">
        <v>43</v>
      </c>
      <c r="D50" s="4">
        <v>1</v>
      </c>
      <c r="E50" s="4">
        <v>3</v>
      </c>
      <c r="F50" s="5" t="s">
        <v>37</v>
      </c>
      <c r="H50" s="21">
        <f t="shared" si="0"/>
        <v>-2</v>
      </c>
      <c r="I50" s="21">
        <f t="shared" si="1"/>
        <v>66.666666666666657</v>
      </c>
    </row>
    <row r="51" spans="1:9">
      <c r="A51" t="s">
        <v>58</v>
      </c>
      <c r="B51" t="s">
        <v>35</v>
      </c>
      <c r="C51" s="4" t="s">
        <v>43</v>
      </c>
      <c r="D51" s="4">
        <v>1</v>
      </c>
      <c r="F51" s="5" t="s">
        <v>94</v>
      </c>
      <c r="H51" s="21" t="str">
        <f t="shared" ref="H51:H114" si="2">IF(OR(D51="",E51=""),"",D51-E51)</f>
        <v/>
      </c>
      <c r="I51" s="21" t="str">
        <f t="shared" ref="I51:I114" si="3">IF(OR(H51="",E51=0),"",ABS(H51)/E51*100)</f>
        <v/>
      </c>
    </row>
    <row r="52" spans="1:9">
      <c r="H52" s="21" t="str">
        <f t="shared" si="2"/>
        <v/>
      </c>
      <c r="I52" s="21" t="str">
        <f t="shared" si="3"/>
        <v/>
      </c>
    </row>
    <row r="53" spans="1:9">
      <c r="H53" s="21" t="str">
        <f t="shared" si="2"/>
        <v/>
      </c>
      <c r="I53" s="21" t="str">
        <f t="shared" si="3"/>
        <v/>
      </c>
    </row>
    <row r="54" spans="1:9">
      <c r="H54" s="21" t="str">
        <f t="shared" si="2"/>
        <v/>
      </c>
      <c r="I54" s="21" t="str">
        <f t="shared" si="3"/>
        <v/>
      </c>
    </row>
    <row r="55" spans="1:9">
      <c r="H55" s="21" t="str">
        <f t="shared" si="2"/>
        <v/>
      </c>
      <c r="I55" s="21" t="str">
        <f t="shared" si="3"/>
        <v/>
      </c>
    </row>
    <row r="56" spans="1:9">
      <c r="H56" s="21" t="str">
        <f t="shared" si="2"/>
        <v/>
      </c>
      <c r="I56" s="21" t="str">
        <f t="shared" si="3"/>
        <v/>
      </c>
    </row>
    <row r="57" spans="1:9">
      <c r="H57" s="21" t="str">
        <f t="shared" si="2"/>
        <v/>
      </c>
      <c r="I57" s="21" t="str">
        <f t="shared" si="3"/>
        <v/>
      </c>
    </row>
    <row r="58" spans="1:9">
      <c r="H58" s="21" t="str">
        <f t="shared" si="2"/>
        <v/>
      </c>
      <c r="I58" s="21" t="str">
        <f t="shared" si="3"/>
        <v/>
      </c>
    </row>
    <row r="59" spans="1:9">
      <c r="H59" s="21" t="str">
        <f t="shared" si="2"/>
        <v/>
      </c>
      <c r="I59" s="21" t="str">
        <f t="shared" si="3"/>
        <v/>
      </c>
    </row>
    <row r="60" spans="1:9">
      <c r="H60" s="21" t="str">
        <f t="shared" si="2"/>
        <v/>
      </c>
      <c r="I60" s="21" t="str">
        <f t="shared" si="3"/>
        <v/>
      </c>
    </row>
    <row r="61" spans="1:9">
      <c r="H61" s="21" t="str">
        <f t="shared" si="2"/>
        <v/>
      </c>
      <c r="I61" s="21" t="str">
        <f t="shared" si="3"/>
        <v/>
      </c>
    </row>
    <row r="62" spans="1:9">
      <c r="H62" s="21" t="str">
        <f t="shared" si="2"/>
        <v/>
      </c>
      <c r="I62" s="21" t="str">
        <f t="shared" si="3"/>
        <v/>
      </c>
    </row>
    <row r="63" spans="1:9">
      <c r="H63" s="21" t="str">
        <f t="shared" si="2"/>
        <v/>
      </c>
      <c r="I63" s="21" t="str">
        <f t="shared" si="3"/>
        <v/>
      </c>
    </row>
    <row r="64" spans="1:9">
      <c r="H64" s="21" t="str">
        <f t="shared" si="2"/>
        <v/>
      </c>
      <c r="I64" s="21" t="str">
        <f t="shared" si="3"/>
        <v/>
      </c>
    </row>
    <row r="65" spans="8:9">
      <c r="H65" s="21" t="str">
        <f t="shared" si="2"/>
        <v/>
      </c>
      <c r="I65" s="21" t="str">
        <f t="shared" si="3"/>
        <v/>
      </c>
    </row>
    <row r="66" spans="8:9">
      <c r="H66" s="21" t="str">
        <f t="shared" si="2"/>
        <v/>
      </c>
      <c r="I66" s="21" t="str">
        <f t="shared" si="3"/>
        <v/>
      </c>
    </row>
    <row r="67" spans="8:9">
      <c r="H67" s="21" t="str">
        <f t="shared" si="2"/>
        <v/>
      </c>
      <c r="I67" s="21" t="str">
        <f t="shared" si="3"/>
        <v/>
      </c>
    </row>
    <row r="68" spans="8:9">
      <c r="H68" s="21" t="str">
        <f t="shared" si="2"/>
        <v/>
      </c>
      <c r="I68" s="21" t="str">
        <f t="shared" si="3"/>
        <v/>
      </c>
    </row>
    <row r="69" spans="8:9">
      <c r="H69" s="21" t="str">
        <f t="shared" si="2"/>
        <v/>
      </c>
      <c r="I69" s="21" t="str">
        <f t="shared" si="3"/>
        <v/>
      </c>
    </row>
    <row r="70" spans="8:9">
      <c r="H70" s="21" t="str">
        <f t="shared" si="2"/>
        <v/>
      </c>
      <c r="I70" s="21" t="str">
        <f t="shared" si="3"/>
        <v/>
      </c>
    </row>
    <row r="71" spans="8:9">
      <c r="H71" s="21" t="str">
        <f t="shared" si="2"/>
        <v/>
      </c>
      <c r="I71" s="21" t="str">
        <f t="shared" si="3"/>
        <v/>
      </c>
    </row>
    <row r="72" spans="8:9">
      <c r="H72" s="21" t="str">
        <f t="shared" si="2"/>
        <v/>
      </c>
      <c r="I72" s="21" t="str">
        <f t="shared" si="3"/>
        <v/>
      </c>
    </row>
    <row r="73" spans="8:9">
      <c r="H73" s="21" t="str">
        <f t="shared" si="2"/>
        <v/>
      </c>
      <c r="I73" s="21" t="str">
        <f t="shared" si="3"/>
        <v/>
      </c>
    </row>
    <row r="74" spans="8:9">
      <c r="H74" s="21" t="str">
        <f t="shared" si="2"/>
        <v/>
      </c>
      <c r="I74" s="21" t="str">
        <f t="shared" si="3"/>
        <v/>
      </c>
    </row>
    <row r="75" spans="8:9">
      <c r="H75" s="21" t="str">
        <f t="shared" si="2"/>
        <v/>
      </c>
      <c r="I75" s="21" t="str">
        <f t="shared" si="3"/>
        <v/>
      </c>
    </row>
    <row r="76" spans="8:9">
      <c r="H76" s="21" t="str">
        <f t="shared" si="2"/>
        <v/>
      </c>
      <c r="I76" s="21" t="str">
        <f t="shared" si="3"/>
        <v/>
      </c>
    </row>
    <row r="77" spans="8:9">
      <c r="H77" s="21" t="str">
        <f t="shared" si="2"/>
        <v/>
      </c>
      <c r="I77" s="21" t="str">
        <f t="shared" si="3"/>
        <v/>
      </c>
    </row>
    <row r="78" spans="8:9">
      <c r="H78" s="21" t="str">
        <f t="shared" si="2"/>
        <v/>
      </c>
      <c r="I78" s="21" t="str">
        <f t="shared" si="3"/>
        <v/>
      </c>
    </row>
    <row r="79" spans="8:9">
      <c r="H79" s="21" t="str">
        <f t="shared" si="2"/>
        <v/>
      </c>
      <c r="I79" s="21" t="str">
        <f t="shared" si="3"/>
        <v/>
      </c>
    </row>
    <row r="80" spans="8:9">
      <c r="H80" s="21" t="str">
        <f t="shared" si="2"/>
        <v/>
      </c>
      <c r="I80" s="21" t="str">
        <f t="shared" si="3"/>
        <v/>
      </c>
    </row>
    <row r="81" spans="8:9">
      <c r="H81" s="21" t="str">
        <f t="shared" si="2"/>
        <v/>
      </c>
      <c r="I81" s="21" t="str">
        <f t="shared" si="3"/>
        <v/>
      </c>
    </row>
    <row r="82" spans="8:9">
      <c r="H82" s="21" t="str">
        <f t="shared" si="2"/>
        <v/>
      </c>
      <c r="I82" s="21" t="str">
        <f t="shared" si="3"/>
        <v/>
      </c>
    </row>
    <row r="83" spans="8:9">
      <c r="H83" s="21" t="str">
        <f t="shared" si="2"/>
        <v/>
      </c>
      <c r="I83" s="21" t="str">
        <f t="shared" si="3"/>
        <v/>
      </c>
    </row>
    <row r="84" spans="8:9">
      <c r="H84" s="21" t="str">
        <f t="shared" si="2"/>
        <v/>
      </c>
      <c r="I84" s="21" t="str">
        <f t="shared" si="3"/>
        <v/>
      </c>
    </row>
    <row r="85" spans="8:9">
      <c r="H85" s="21" t="str">
        <f t="shared" si="2"/>
        <v/>
      </c>
      <c r="I85" s="21" t="str">
        <f t="shared" si="3"/>
        <v/>
      </c>
    </row>
    <row r="86" spans="8:9">
      <c r="H86" s="21" t="str">
        <f t="shared" si="2"/>
        <v/>
      </c>
      <c r="I86" s="21" t="str">
        <f t="shared" si="3"/>
        <v/>
      </c>
    </row>
    <row r="87" spans="8:9">
      <c r="H87" s="21" t="str">
        <f t="shared" si="2"/>
        <v/>
      </c>
      <c r="I87" s="21" t="str">
        <f t="shared" si="3"/>
        <v/>
      </c>
    </row>
    <row r="88" spans="8:9">
      <c r="H88" s="21" t="str">
        <f t="shared" si="2"/>
        <v/>
      </c>
      <c r="I88" s="21" t="str">
        <f t="shared" si="3"/>
        <v/>
      </c>
    </row>
    <row r="89" spans="8:9">
      <c r="H89" s="21" t="str">
        <f t="shared" si="2"/>
        <v/>
      </c>
      <c r="I89" s="21" t="str">
        <f t="shared" si="3"/>
        <v/>
      </c>
    </row>
    <row r="90" spans="8:9">
      <c r="H90" s="21" t="str">
        <f t="shared" si="2"/>
        <v/>
      </c>
      <c r="I90" s="21" t="str">
        <f t="shared" si="3"/>
        <v/>
      </c>
    </row>
    <row r="91" spans="8:9">
      <c r="H91" s="21" t="str">
        <f t="shared" si="2"/>
        <v/>
      </c>
      <c r="I91" s="21" t="str">
        <f t="shared" si="3"/>
        <v/>
      </c>
    </row>
    <row r="92" spans="8:9">
      <c r="H92" s="21" t="str">
        <f t="shared" si="2"/>
        <v/>
      </c>
      <c r="I92" s="21" t="str">
        <f t="shared" si="3"/>
        <v/>
      </c>
    </row>
    <row r="93" spans="8:9">
      <c r="H93" s="21" t="str">
        <f t="shared" si="2"/>
        <v/>
      </c>
      <c r="I93" s="21" t="str">
        <f t="shared" si="3"/>
        <v/>
      </c>
    </row>
    <row r="94" spans="8:9">
      <c r="H94" s="21" t="str">
        <f t="shared" si="2"/>
        <v/>
      </c>
      <c r="I94" s="21" t="str">
        <f t="shared" si="3"/>
        <v/>
      </c>
    </row>
    <row r="95" spans="8:9">
      <c r="H95" s="21" t="str">
        <f t="shared" si="2"/>
        <v/>
      </c>
      <c r="I95" s="21" t="str">
        <f t="shared" si="3"/>
        <v/>
      </c>
    </row>
    <row r="96" spans="8:9">
      <c r="H96" s="21" t="str">
        <f t="shared" si="2"/>
        <v/>
      </c>
      <c r="I96" s="21" t="str">
        <f t="shared" si="3"/>
        <v/>
      </c>
    </row>
    <row r="97" spans="8:9">
      <c r="H97" s="21" t="str">
        <f t="shared" si="2"/>
        <v/>
      </c>
      <c r="I97" s="21" t="str">
        <f t="shared" si="3"/>
        <v/>
      </c>
    </row>
    <row r="98" spans="8:9">
      <c r="H98" s="21" t="str">
        <f t="shared" si="2"/>
        <v/>
      </c>
      <c r="I98" s="21" t="str">
        <f t="shared" si="3"/>
        <v/>
      </c>
    </row>
    <row r="99" spans="8:9">
      <c r="H99" s="21" t="str">
        <f t="shared" si="2"/>
        <v/>
      </c>
      <c r="I99" s="21" t="str">
        <f t="shared" si="3"/>
        <v/>
      </c>
    </row>
    <row r="100" spans="8:9">
      <c r="H100" s="21" t="str">
        <f t="shared" si="2"/>
        <v/>
      </c>
      <c r="I100" s="21" t="str">
        <f t="shared" si="3"/>
        <v/>
      </c>
    </row>
    <row r="101" spans="8:9">
      <c r="H101" s="21" t="str">
        <f t="shared" si="2"/>
        <v/>
      </c>
      <c r="I101" s="21" t="str">
        <f t="shared" si="3"/>
        <v/>
      </c>
    </row>
    <row r="102" spans="8:9">
      <c r="H102" s="21" t="str">
        <f t="shared" si="2"/>
        <v/>
      </c>
      <c r="I102" s="21" t="str">
        <f t="shared" si="3"/>
        <v/>
      </c>
    </row>
    <row r="103" spans="8:9">
      <c r="H103" s="21" t="str">
        <f t="shared" si="2"/>
        <v/>
      </c>
      <c r="I103" s="21" t="str">
        <f t="shared" si="3"/>
        <v/>
      </c>
    </row>
    <row r="104" spans="8:9">
      <c r="H104" s="21" t="str">
        <f t="shared" si="2"/>
        <v/>
      </c>
      <c r="I104" s="21" t="str">
        <f t="shared" si="3"/>
        <v/>
      </c>
    </row>
    <row r="105" spans="8:9">
      <c r="H105" s="21" t="str">
        <f t="shared" si="2"/>
        <v/>
      </c>
      <c r="I105" s="21" t="str">
        <f t="shared" si="3"/>
        <v/>
      </c>
    </row>
    <row r="106" spans="8:9">
      <c r="H106" s="21" t="str">
        <f t="shared" si="2"/>
        <v/>
      </c>
      <c r="I106" s="21" t="str">
        <f t="shared" si="3"/>
        <v/>
      </c>
    </row>
    <row r="107" spans="8:9">
      <c r="H107" s="21" t="str">
        <f t="shared" si="2"/>
        <v/>
      </c>
      <c r="I107" s="21" t="str">
        <f t="shared" si="3"/>
        <v/>
      </c>
    </row>
    <row r="108" spans="8:9">
      <c r="H108" s="21" t="str">
        <f t="shared" si="2"/>
        <v/>
      </c>
      <c r="I108" s="21" t="str">
        <f t="shared" si="3"/>
        <v/>
      </c>
    </row>
    <row r="109" spans="8:9">
      <c r="H109" s="21" t="str">
        <f t="shared" si="2"/>
        <v/>
      </c>
      <c r="I109" s="21" t="str">
        <f t="shared" si="3"/>
        <v/>
      </c>
    </row>
    <row r="110" spans="8:9">
      <c r="H110" s="21" t="str">
        <f t="shared" si="2"/>
        <v/>
      </c>
      <c r="I110" s="21" t="str">
        <f t="shared" si="3"/>
        <v/>
      </c>
    </row>
    <row r="111" spans="8:9">
      <c r="H111" s="21" t="str">
        <f t="shared" si="2"/>
        <v/>
      </c>
      <c r="I111" s="21" t="str">
        <f t="shared" si="3"/>
        <v/>
      </c>
    </row>
    <row r="112" spans="8:9">
      <c r="H112" s="21" t="str">
        <f t="shared" si="2"/>
        <v/>
      </c>
      <c r="I112" s="21" t="str">
        <f t="shared" si="3"/>
        <v/>
      </c>
    </row>
    <row r="113" spans="8:9">
      <c r="H113" s="21" t="str">
        <f t="shared" si="2"/>
        <v/>
      </c>
      <c r="I113" s="21" t="str">
        <f t="shared" si="3"/>
        <v/>
      </c>
    </row>
    <row r="114" spans="8:9">
      <c r="H114" s="21" t="str">
        <f t="shared" si="2"/>
        <v/>
      </c>
      <c r="I114" s="21" t="str">
        <f t="shared" si="3"/>
        <v/>
      </c>
    </row>
    <row r="115" spans="8:9">
      <c r="H115" s="21" t="str">
        <f t="shared" ref="H115:H178" si="4">IF(OR(D115="",E115=""),"",D115-E115)</f>
        <v/>
      </c>
      <c r="I115" s="21" t="str">
        <f t="shared" ref="I115:I178" si="5">IF(OR(H115="",E115=0),"",ABS(H115)/E115*100)</f>
        <v/>
      </c>
    </row>
    <row r="116" spans="8:9">
      <c r="H116" s="21" t="str">
        <f t="shared" si="4"/>
        <v/>
      </c>
      <c r="I116" s="21" t="str">
        <f t="shared" si="5"/>
        <v/>
      </c>
    </row>
    <row r="117" spans="8:9">
      <c r="H117" s="21" t="str">
        <f t="shared" si="4"/>
        <v/>
      </c>
      <c r="I117" s="21" t="str">
        <f t="shared" si="5"/>
        <v/>
      </c>
    </row>
    <row r="118" spans="8:9">
      <c r="H118" s="21" t="str">
        <f t="shared" si="4"/>
        <v/>
      </c>
      <c r="I118" s="21" t="str">
        <f t="shared" si="5"/>
        <v/>
      </c>
    </row>
    <row r="119" spans="8:9">
      <c r="H119" s="21" t="str">
        <f t="shared" si="4"/>
        <v/>
      </c>
      <c r="I119" s="21" t="str">
        <f t="shared" si="5"/>
        <v/>
      </c>
    </row>
    <row r="120" spans="8:9">
      <c r="H120" s="21" t="str">
        <f t="shared" si="4"/>
        <v/>
      </c>
      <c r="I120" s="21" t="str">
        <f t="shared" si="5"/>
        <v/>
      </c>
    </row>
    <row r="121" spans="8:9">
      <c r="H121" s="21" t="str">
        <f t="shared" si="4"/>
        <v/>
      </c>
      <c r="I121" s="21" t="str">
        <f t="shared" si="5"/>
        <v/>
      </c>
    </row>
    <row r="122" spans="8:9">
      <c r="H122" s="21" t="str">
        <f t="shared" si="4"/>
        <v/>
      </c>
      <c r="I122" s="21" t="str">
        <f t="shared" si="5"/>
        <v/>
      </c>
    </row>
    <row r="123" spans="8:9">
      <c r="H123" s="21" t="str">
        <f t="shared" si="4"/>
        <v/>
      </c>
      <c r="I123" s="21" t="str">
        <f t="shared" si="5"/>
        <v/>
      </c>
    </row>
    <row r="124" spans="8:9">
      <c r="H124" s="21" t="str">
        <f t="shared" si="4"/>
        <v/>
      </c>
      <c r="I124" s="21" t="str">
        <f t="shared" si="5"/>
        <v/>
      </c>
    </row>
    <row r="125" spans="8:9">
      <c r="H125" s="21" t="str">
        <f t="shared" si="4"/>
        <v/>
      </c>
      <c r="I125" s="21" t="str">
        <f t="shared" si="5"/>
        <v/>
      </c>
    </row>
    <row r="126" spans="8:9">
      <c r="H126" s="21" t="str">
        <f t="shared" si="4"/>
        <v/>
      </c>
      <c r="I126" s="21" t="str">
        <f t="shared" si="5"/>
        <v/>
      </c>
    </row>
    <row r="127" spans="8:9">
      <c r="H127" s="21" t="str">
        <f t="shared" si="4"/>
        <v/>
      </c>
      <c r="I127" s="21" t="str">
        <f t="shared" si="5"/>
        <v/>
      </c>
    </row>
    <row r="128" spans="8:9">
      <c r="H128" s="21" t="str">
        <f t="shared" si="4"/>
        <v/>
      </c>
      <c r="I128" s="21" t="str">
        <f t="shared" si="5"/>
        <v/>
      </c>
    </row>
    <row r="129" spans="8:9">
      <c r="H129" s="21" t="str">
        <f t="shared" si="4"/>
        <v/>
      </c>
      <c r="I129" s="21" t="str">
        <f t="shared" si="5"/>
        <v/>
      </c>
    </row>
    <row r="130" spans="8:9">
      <c r="H130" s="21" t="str">
        <f t="shared" si="4"/>
        <v/>
      </c>
      <c r="I130" s="21" t="str">
        <f t="shared" si="5"/>
        <v/>
      </c>
    </row>
    <row r="131" spans="8:9">
      <c r="H131" s="21" t="str">
        <f t="shared" si="4"/>
        <v/>
      </c>
      <c r="I131" s="21" t="str">
        <f t="shared" si="5"/>
        <v/>
      </c>
    </row>
    <row r="132" spans="8:9">
      <c r="H132" s="21" t="str">
        <f t="shared" si="4"/>
        <v/>
      </c>
      <c r="I132" s="21" t="str">
        <f t="shared" si="5"/>
        <v/>
      </c>
    </row>
    <row r="133" spans="8:9">
      <c r="H133" s="21" t="str">
        <f t="shared" si="4"/>
        <v/>
      </c>
      <c r="I133" s="21" t="str">
        <f t="shared" si="5"/>
        <v/>
      </c>
    </row>
    <row r="134" spans="8:9">
      <c r="H134" s="21" t="str">
        <f t="shared" si="4"/>
        <v/>
      </c>
      <c r="I134" s="21" t="str">
        <f t="shared" si="5"/>
        <v/>
      </c>
    </row>
    <row r="135" spans="8:9">
      <c r="H135" s="21" t="str">
        <f t="shared" si="4"/>
        <v/>
      </c>
      <c r="I135" s="21" t="str">
        <f t="shared" si="5"/>
        <v/>
      </c>
    </row>
    <row r="136" spans="8:9">
      <c r="H136" s="21" t="str">
        <f t="shared" si="4"/>
        <v/>
      </c>
      <c r="I136" s="21" t="str">
        <f t="shared" si="5"/>
        <v/>
      </c>
    </row>
    <row r="137" spans="8:9">
      <c r="H137" s="21" t="str">
        <f t="shared" si="4"/>
        <v/>
      </c>
      <c r="I137" s="21" t="str">
        <f t="shared" si="5"/>
        <v/>
      </c>
    </row>
    <row r="138" spans="8:9">
      <c r="H138" s="21" t="str">
        <f t="shared" si="4"/>
        <v/>
      </c>
      <c r="I138" s="21" t="str">
        <f t="shared" si="5"/>
        <v/>
      </c>
    </row>
    <row r="139" spans="8:9">
      <c r="H139" s="21" t="str">
        <f t="shared" si="4"/>
        <v/>
      </c>
      <c r="I139" s="21" t="str">
        <f t="shared" si="5"/>
        <v/>
      </c>
    </row>
    <row r="140" spans="8:9">
      <c r="H140" s="21" t="str">
        <f t="shared" si="4"/>
        <v/>
      </c>
      <c r="I140" s="21" t="str">
        <f t="shared" si="5"/>
        <v/>
      </c>
    </row>
    <row r="141" spans="8:9">
      <c r="H141" s="21" t="str">
        <f t="shared" si="4"/>
        <v/>
      </c>
      <c r="I141" s="21" t="str">
        <f t="shared" si="5"/>
        <v/>
      </c>
    </row>
    <row r="142" spans="8:9">
      <c r="H142" s="21" t="str">
        <f t="shared" si="4"/>
        <v/>
      </c>
      <c r="I142" s="21" t="str">
        <f t="shared" si="5"/>
        <v/>
      </c>
    </row>
    <row r="143" spans="8:9">
      <c r="H143" s="21" t="str">
        <f t="shared" si="4"/>
        <v/>
      </c>
      <c r="I143" s="21" t="str">
        <f t="shared" si="5"/>
        <v/>
      </c>
    </row>
    <row r="144" spans="8:9">
      <c r="H144" s="21" t="str">
        <f t="shared" si="4"/>
        <v/>
      </c>
      <c r="I144" s="21" t="str">
        <f t="shared" si="5"/>
        <v/>
      </c>
    </row>
    <row r="145" spans="8:9">
      <c r="H145" s="21" t="str">
        <f t="shared" si="4"/>
        <v/>
      </c>
      <c r="I145" s="21" t="str">
        <f t="shared" si="5"/>
        <v/>
      </c>
    </row>
    <row r="146" spans="8:9">
      <c r="H146" s="21" t="str">
        <f t="shared" si="4"/>
        <v/>
      </c>
      <c r="I146" s="21" t="str">
        <f t="shared" si="5"/>
        <v/>
      </c>
    </row>
    <row r="147" spans="8:9">
      <c r="H147" s="21" t="str">
        <f t="shared" si="4"/>
        <v/>
      </c>
      <c r="I147" s="21" t="str">
        <f t="shared" si="5"/>
        <v/>
      </c>
    </row>
    <row r="148" spans="8:9">
      <c r="H148" s="21" t="str">
        <f t="shared" si="4"/>
        <v/>
      </c>
      <c r="I148" s="21" t="str">
        <f t="shared" si="5"/>
        <v/>
      </c>
    </row>
    <row r="149" spans="8:9">
      <c r="H149" s="21" t="str">
        <f t="shared" si="4"/>
        <v/>
      </c>
      <c r="I149" s="21" t="str">
        <f t="shared" si="5"/>
        <v/>
      </c>
    </row>
    <row r="150" spans="8:9">
      <c r="H150" s="21" t="str">
        <f t="shared" si="4"/>
        <v/>
      </c>
      <c r="I150" s="21" t="str">
        <f t="shared" si="5"/>
        <v/>
      </c>
    </row>
    <row r="151" spans="8:9">
      <c r="H151" s="21" t="str">
        <f t="shared" si="4"/>
        <v/>
      </c>
      <c r="I151" s="21" t="str">
        <f t="shared" si="5"/>
        <v/>
      </c>
    </row>
    <row r="152" spans="8:9">
      <c r="H152" s="21" t="str">
        <f t="shared" si="4"/>
        <v/>
      </c>
      <c r="I152" s="21" t="str">
        <f t="shared" si="5"/>
        <v/>
      </c>
    </row>
    <row r="153" spans="8:9">
      <c r="H153" s="21" t="str">
        <f t="shared" si="4"/>
        <v/>
      </c>
      <c r="I153" s="21" t="str">
        <f t="shared" si="5"/>
        <v/>
      </c>
    </row>
    <row r="154" spans="8:9">
      <c r="H154" s="21" t="str">
        <f t="shared" si="4"/>
        <v/>
      </c>
      <c r="I154" s="21" t="str">
        <f t="shared" si="5"/>
        <v/>
      </c>
    </row>
    <row r="155" spans="8:9">
      <c r="H155" s="21" t="str">
        <f t="shared" si="4"/>
        <v/>
      </c>
      <c r="I155" s="21" t="str">
        <f t="shared" si="5"/>
        <v/>
      </c>
    </row>
    <row r="156" spans="8:9">
      <c r="H156" s="21" t="str">
        <f t="shared" si="4"/>
        <v/>
      </c>
      <c r="I156" s="21" t="str">
        <f t="shared" si="5"/>
        <v/>
      </c>
    </row>
    <row r="157" spans="8:9">
      <c r="H157" s="21" t="str">
        <f t="shared" si="4"/>
        <v/>
      </c>
      <c r="I157" s="21" t="str">
        <f t="shared" si="5"/>
        <v/>
      </c>
    </row>
    <row r="158" spans="8:9">
      <c r="H158" s="21" t="str">
        <f t="shared" si="4"/>
        <v/>
      </c>
      <c r="I158" s="21" t="str">
        <f t="shared" si="5"/>
        <v/>
      </c>
    </row>
    <row r="159" spans="8:9">
      <c r="H159" s="21" t="str">
        <f t="shared" si="4"/>
        <v/>
      </c>
      <c r="I159" s="21" t="str">
        <f t="shared" si="5"/>
        <v/>
      </c>
    </row>
    <row r="160" spans="8:9">
      <c r="H160" s="21" t="str">
        <f t="shared" si="4"/>
        <v/>
      </c>
      <c r="I160" s="21" t="str">
        <f t="shared" si="5"/>
        <v/>
      </c>
    </row>
    <row r="161" spans="8:9">
      <c r="H161" s="21" t="str">
        <f t="shared" si="4"/>
        <v/>
      </c>
      <c r="I161" s="21" t="str">
        <f t="shared" si="5"/>
        <v/>
      </c>
    </row>
    <row r="162" spans="8:9">
      <c r="H162" s="21" t="str">
        <f t="shared" si="4"/>
        <v/>
      </c>
      <c r="I162" s="21" t="str">
        <f t="shared" si="5"/>
        <v/>
      </c>
    </row>
    <row r="163" spans="8:9">
      <c r="H163" s="21" t="str">
        <f t="shared" si="4"/>
        <v/>
      </c>
      <c r="I163" s="21" t="str">
        <f t="shared" si="5"/>
        <v/>
      </c>
    </row>
    <row r="164" spans="8:9">
      <c r="H164" s="21" t="str">
        <f t="shared" si="4"/>
        <v/>
      </c>
      <c r="I164" s="21" t="str">
        <f t="shared" si="5"/>
        <v/>
      </c>
    </row>
    <row r="165" spans="8:9">
      <c r="H165" s="21" t="str">
        <f t="shared" si="4"/>
        <v/>
      </c>
      <c r="I165" s="21" t="str">
        <f t="shared" si="5"/>
        <v/>
      </c>
    </row>
    <row r="166" spans="8:9">
      <c r="H166" s="21" t="str">
        <f t="shared" si="4"/>
        <v/>
      </c>
      <c r="I166" s="21" t="str">
        <f t="shared" si="5"/>
        <v/>
      </c>
    </row>
    <row r="167" spans="8:9">
      <c r="H167" s="21" t="str">
        <f t="shared" si="4"/>
        <v/>
      </c>
      <c r="I167" s="21" t="str">
        <f t="shared" si="5"/>
        <v/>
      </c>
    </row>
    <row r="168" spans="8:9">
      <c r="H168" s="21" t="str">
        <f t="shared" si="4"/>
        <v/>
      </c>
      <c r="I168" s="21" t="str">
        <f t="shared" si="5"/>
        <v/>
      </c>
    </row>
    <row r="169" spans="8:9">
      <c r="H169" s="21" t="str">
        <f t="shared" si="4"/>
        <v/>
      </c>
      <c r="I169" s="21" t="str">
        <f t="shared" si="5"/>
        <v/>
      </c>
    </row>
    <row r="170" spans="8:9">
      <c r="H170" s="21" t="str">
        <f t="shared" si="4"/>
        <v/>
      </c>
      <c r="I170" s="21" t="str">
        <f t="shared" si="5"/>
        <v/>
      </c>
    </row>
    <row r="171" spans="8:9">
      <c r="H171" s="21" t="str">
        <f t="shared" si="4"/>
        <v/>
      </c>
      <c r="I171" s="21" t="str">
        <f t="shared" si="5"/>
        <v/>
      </c>
    </row>
    <row r="172" spans="8:9">
      <c r="H172" s="21" t="str">
        <f t="shared" si="4"/>
        <v/>
      </c>
      <c r="I172" s="21" t="str">
        <f t="shared" si="5"/>
        <v/>
      </c>
    </row>
    <row r="173" spans="8:9">
      <c r="H173" s="21" t="str">
        <f t="shared" si="4"/>
        <v/>
      </c>
      <c r="I173" s="21" t="str">
        <f t="shared" si="5"/>
        <v/>
      </c>
    </row>
    <row r="174" spans="8:9">
      <c r="H174" s="21" t="str">
        <f t="shared" si="4"/>
        <v/>
      </c>
      <c r="I174" s="21" t="str">
        <f t="shared" si="5"/>
        <v/>
      </c>
    </row>
    <row r="175" spans="8:9">
      <c r="H175" s="21" t="str">
        <f t="shared" si="4"/>
        <v/>
      </c>
      <c r="I175" s="21" t="str">
        <f t="shared" si="5"/>
        <v/>
      </c>
    </row>
    <row r="176" spans="8:9">
      <c r="H176" s="21" t="str">
        <f t="shared" si="4"/>
        <v/>
      </c>
      <c r="I176" s="21" t="str">
        <f t="shared" si="5"/>
        <v/>
      </c>
    </row>
    <row r="177" spans="8:9">
      <c r="H177" s="21" t="str">
        <f t="shared" si="4"/>
        <v/>
      </c>
      <c r="I177" s="21" t="str">
        <f t="shared" si="5"/>
        <v/>
      </c>
    </row>
    <row r="178" spans="8:9">
      <c r="H178" s="21" t="str">
        <f t="shared" si="4"/>
        <v/>
      </c>
      <c r="I178" s="21" t="str">
        <f t="shared" si="5"/>
        <v/>
      </c>
    </row>
    <row r="179" spans="8:9">
      <c r="H179" s="21" t="str">
        <f t="shared" ref="H179:H206" si="6">IF(OR(D179="",E179=""),"",D179-E179)</f>
        <v/>
      </c>
      <c r="I179" s="21" t="str">
        <f t="shared" ref="I179:I213" si="7">IF(OR(H179="",E179=0),"",ABS(H179)/E179*100)</f>
        <v/>
      </c>
    </row>
    <row r="180" spans="8:9">
      <c r="H180" s="21" t="str">
        <f t="shared" si="6"/>
        <v/>
      </c>
      <c r="I180" s="21" t="str">
        <f t="shared" si="7"/>
        <v/>
      </c>
    </row>
    <row r="181" spans="8:9">
      <c r="H181" s="21" t="str">
        <f t="shared" si="6"/>
        <v/>
      </c>
      <c r="I181" s="21" t="str">
        <f t="shared" si="7"/>
        <v/>
      </c>
    </row>
    <row r="182" spans="8:9">
      <c r="H182" s="21" t="str">
        <f t="shared" si="6"/>
        <v/>
      </c>
      <c r="I182" s="21" t="str">
        <f t="shared" si="7"/>
        <v/>
      </c>
    </row>
    <row r="183" spans="8:9">
      <c r="H183" s="21" t="str">
        <f t="shared" si="6"/>
        <v/>
      </c>
      <c r="I183" s="21" t="str">
        <f t="shared" si="7"/>
        <v/>
      </c>
    </row>
    <row r="184" spans="8:9">
      <c r="H184" s="21" t="str">
        <f t="shared" si="6"/>
        <v/>
      </c>
      <c r="I184" s="21" t="str">
        <f t="shared" si="7"/>
        <v/>
      </c>
    </row>
    <row r="185" spans="8:9">
      <c r="H185" s="21" t="str">
        <f t="shared" si="6"/>
        <v/>
      </c>
      <c r="I185" s="21" t="str">
        <f t="shared" si="7"/>
        <v/>
      </c>
    </row>
    <row r="186" spans="8:9">
      <c r="H186" s="21" t="str">
        <f t="shared" si="6"/>
        <v/>
      </c>
      <c r="I186" s="21" t="str">
        <f t="shared" si="7"/>
        <v/>
      </c>
    </row>
    <row r="187" spans="8:9">
      <c r="H187" s="21" t="str">
        <f t="shared" si="6"/>
        <v/>
      </c>
      <c r="I187" s="21" t="str">
        <f t="shared" si="7"/>
        <v/>
      </c>
    </row>
    <row r="188" spans="8:9">
      <c r="H188" s="21" t="str">
        <f t="shared" si="6"/>
        <v/>
      </c>
      <c r="I188" s="21" t="str">
        <f t="shared" si="7"/>
        <v/>
      </c>
    </row>
    <row r="189" spans="8:9">
      <c r="H189" s="21" t="str">
        <f t="shared" si="6"/>
        <v/>
      </c>
      <c r="I189" s="21" t="str">
        <f t="shared" si="7"/>
        <v/>
      </c>
    </row>
    <row r="190" spans="8:9">
      <c r="H190" s="21" t="str">
        <f t="shared" si="6"/>
        <v/>
      </c>
      <c r="I190" s="21" t="str">
        <f t="shared" si="7"/>
        <v/>
      </c>
    </row>
    <row r="191" spans="8:9">
      <c r="H191" s="21" t="str">
        <f t="shared" si="6"/>
        <v/>
      </c>
      <c r="I191" s="21" t="str">
        <f t="shared" si="7"/>
        <v/>
      </c>
    </row>
    <row r="192" spans="8:9">
      <c r="H192" s="21" t="str">
        <f t="shared" si="6"/>
        <v/>
      </c>
      <c r="I192" s="21" t="str">
        <f t="shared" si="7"/>
        <v/>
      </c>
    </row>
    <row r="193" spans="8:9">
      <c r="H193" s="21" t="str">
        <f t="shared" si="6"/>
        <v/>
      </c>
      <c r="I193" s="21" t="str">
        <f t="shared" si="7"/>
        <v/>
      </c>
    </row>
    <row r="194" spans="8:9">
      <c r="H194" s="21" t="str">
        <f t="shared" si="6"/>
        <v/>
      </c>
      <c r="I194" s="21" t="str">
        <f t="shared" si="7"/>
        <v/>
      </c>
    </row>
    <row r="195" spans="8:9">
      <c r="H195" s="21" t="str">
        <f t="shared" si="6"/>
        <v/>
      </c>
      <c r="I195" s="21" t="str">
        <f t="shared" si="7"/>
        <v/>
      </c>
    </row>
    <row r="196" spans="8:9">
      <c r="H196" s="21" t="str">
        <f t="shared" si="6"/>
        <v/>
      </c>
      <c r="I196" s="21" t="str">
        <f t="shared" si="7"/>
        <v/>
      </c>
    </row>
    <row r="197" spans="8:9">
      <c r="H197" s="21" t="str">
        <f t="shared" si="6"/>
        <v/>
      </c>
      <c r="I197" s="21" t="str">
        <f t="shared" si="7"/>
        <v/>
      </c>
    </row>
    <row r="198" spans="8:9">
      <c r="H198" s="21" t="str">
        <f t="shared" si="6"/>
        <v/>
      </c>
      <c r="I198" s="21" t="str">
        <f t="shared" si="7"/>
        <v/>
      </c>
    </row>
    <row r="199" spans="8:9">
      <c r="H199" s="21" t="str">
        <f t="shared" si="6"/>
        <v/>
      </c>
      <c r="I199" s="21" t="str">
        <f t="shared" si="7"/>
        <v/>
      </c>
    </row>
    <row r="200" spans="8:9">
      <c r="H200" s="21" t="str">
        <f t="shared" si="6"/>
        <v/>
      </c>
      <c r="I200" s="21" t="str">
        <f t="shared" si="7"/>
        <v/>
      </c>
    </row>
    <row r="201" spans="8:9">
      <c r="H201" s="21" t="str">
        <f t="shared" si="6"/>
        <v/>
      </c>
      <c r="I201" s="21" t="str">
        <f t="shared" si="7"/>
        <v/>
      </c>
    </row>
    <row r="202" spans="8:9">
      <c r="H202" s="21" t="str">
        <f t="shared" si="6"/>
        <v/>
      </c>
      <c r="I202" s="21" t="str">
        <f t="shared" si="7"/>
        <v/>
      </c>
    </row>
    <row r="203" spans="8:9">
      <c r="H203" s="21" t="str">
        <f t="shared" si="6"/>
        <v/>
      </c>
      <c r="I203" s="21" t="str">
        <f t="shared" si="7"/>
        <v/>
      </c>
    </row>
    <row r="204" spans="8:9">
      <c r="H204" s="21" t="str">
        <f t="shared" si="6"/>
        <v/>
      </c>
      <c r="I204" s="21" t="str">
        <f t="shared" si="7"/>
        <v/>
      </c>
    </row>
    <row r="205" spans="8:9">
      <c r="H205" s="21" t="str">
        <f t="shared" si="6"/>
        <v/>
      </c>
      <c r="I205" s="21" t="str">
        <f t="shared" si="7"/>
        <v/>
      </c>
    </row>
    <row r="206" spans="8:9">
      <c r="H206" s="21" t="str">
        <f t="shared" si="6"/>
        <v/>
      </c>
      <c r="I206" s="21" t="str">
        <f t="shared" si="7"/>
        <v/>
      </c>
    </row>
    <row r="207" spans="8:9">
      <c r="I207" s="21" t="str">
        <f t="shared" si="7"/>
        <v/>
      </c>
    </row>
    <row r="208" spans="8:9">
      <c r="I208" s="21" t="str">
        <f t="shared" si="7"/>
        <v/>
      </c>
    </row>
    <row r="209" spans="9:9">
      <c r="I209" s="21" t="str">
        <f t="shared" si="7"/>
        <v/>
      </c>
    </row>
    <row r="210" spans="9:9">
      <c r="I210" s="21" t="str">
        <f t="shared" si="7"/>
        <v/>
      </c>
    </row>
    <row r="211" spans="9:9">
      <c r="I211" s="21" t="str">
        <f t="shared" si="7"/>
        <v/>
      </c>
    </row>
    <row r="212" spans="9:9">
      <c r="I212" s="21" t="str">
        <f t="shared" si="7"/>
        <v/>
      </c>
    </row>
    <row r="213" spans="9:9">
      <c r="I213" s="21" t="str">
        <f t="shared" si="7"/>
        <v/>
      </c>
    </row>
  </sheetData>
  <conditionalFormatting sqref="F19">
    <cfRule type="cellIs" dxfId="41" priority="58" stopIfTrue="1" operator="equal">
      <formula>"Delayed"</formula>
    </cfRule>
    <cfRule type="cellIs" dxfId="40" priority="59" stopIfTrue="1" operator="equal">
      <formula>"Done"</formula>
    </cfRule>
    <cfRule type="cellIs" dxfId="39" priority="60" stopIfTrue="1" operator="equal">
      <formula>"Ongoing"</formula>
    </cfRule>
  </conditionalFormatting>
  <conditionalFormatting sqref="F24">
    <cfRule type="cellIs" dxfId="38" priority="55" stopIfTrue="1" operator="equal">
      <formula>"Delayed"</formula>
    </cfRule>
    <cfRule type="cellIs" dxfId="37" priority="56" stopIfTrue="1" operator="equal">
      <formula>"Done"</formula>
    </cfRule>
    <cfRule type="cellIs" dxfId="36" priority="57" stopIfTrue="1" operator="equal">
      <formula>"Ongoing"</formula>
    </cfRule>
  </conditionalFormatting>
  <conditionalFormatting sqref="F28">
    <cfRule type="cellIs" dxfId="35" priority="52" stopIfTrue="1" operator="equal">
      <formula>"Delayed"</formula>
    </cfRule>
    <cfRule type="cellIs" dxfId="34" priority="53" stopIfTrue="1" operator="equal">
      <formula>"Done"</formula>
    </cfRule>
    <cfRule type="cellIs" dxfId="33" priority="54" stopIfTrue="1" operator="equal">
      <formula>"Ongoing"</formula>
    </cfRule>
  </conditionalFormatting>
  <conditionalFormatting sqref="F31">
    <cfRule type="cellIs" dxfId="32" priority="19" stopIfTrue="1" operator="equal">
      <formula>"Delayed"</formula>
    </cfRule>
    <cfRule type="cellIs" dxfId="31" priority="20" stopIfTrue="1" operator="equal">
      <formula>"Done"</formula>
    </cfRule>
    <cfRule type="cellIs" dxfId="30" priority="21" stopIfTrue="1" operator="equal">
      <formula>"Ongoing"</formula>
    </cfRule>
  </conditionalFormatting>
  <conditionalFormatting sqref="F32">
    <cfRule type="cellIs" dxfId="29" priority="28" stopIfTrue="1" operator="equal">
      <formula>"Delayed"</formula>
    </cfRule>
    <cfRule type="cellIs" dxfId="28" priority="29" stopIfTrue="1" operator="equal">
      <formula>"Done"</formula>
    </cfRule>
    <cfRule type="cellIs" dxfId="27" priority="30" stopIfTrue="1" operator="equal">
      <formula>"Ongoing"</formula>
    </cfRule>
  </conditionalFormatting>
  <conditionalFormatting sqref="F35">
    <cfRule type="cellIs" dxfId="26" priority="22" stopIfTrue="1" operator="equal">
      <formula>"Delayed"</formula>
    </cfRule>
    <cfRule type="cellIs" dxfId="25" priority="23" stopIfTrue="1" operator="equal">
      <formula>"Done"</formula>
    </cfRule>
    <cfRule type="cellIs" dxfId="24" priority="24" stopIfTrue="1" operator="equal">
      <formula>"Ongoing"</formula>
    </cfRule>
  </conditionalFormatting>
  <conditionalFormatting sqref="F37">
    <cfRule type="cellIs" dxfId="23" priority="16" stopIfTrue="1" operator="equal">
      <formula>"Delayed"</formula>
    </cfRule>
    <cfRule type="cellIs" dxfId="22" priority="17" stopIfTrue="1" operator="equal">
      <formula>"Done"</formula>
    </cfRule>
    <cfRule type="cellIs" dxfId="21" priority="18" stopIfTrue="1" operator="equal">
      <formula>"Ongoing"</formula>
    </cfRule>
  </conditionalFormatting>
  <conditionalFormatting sqref="F38">
    <cfRule type="cellIs" dxfId="20" priority="25" stopIfTrue="1" operator="equal">
      <formula>"Delayed"</formula>
    </cfRule>
    <cfRule type="cellIs" dxfId="19" priority="26" stopIfTrue="1" operator="equal">
      <formula>"Done"</formula>
    </cfRule>
    <cfRule type="cellIs" dxfId="18" priority="27" stopIfTrue="1" operator="equal">
      <formula>"Ongoing"</formula>
    </cfRule>
  </conditionalFormatting>
  <conditionalFormatting sqref="F25:F27 F29:F30 F5:F18 F20:F23 F39:F40 F33:F34 F36 F42 F44 F46 F48 F50:F65493">
    <cfRule type="cellIs" dxfId="17" priority="61" stopIfTrue="1" operator="equal">
      <formula>"Delayed"</formula>
    </cfRule>
    <cfRule type="cellIs" dxfId="16" priority="62" stopIfTrue="1" operator="equal">
      <formula>"Done"</formula>
    </cfRule>
    <cfRule type="cellIs" dxfId="15" priority="63" stopIfTrue="1" operator="equal">
      <formula>"Ongoing"</formula>
    </cfRule>
  </conditionalFormatting>
  <conditionalFormatting sqref="F41">
    <cfRule type="cellIs" dxfId="14" priority="13" stopIfTrue="1" operator="equal">
      <formula>"Delayed"</formula>
    </cfRule>
    <cfRule type="cellIs" dxfId="13" priority="14" stopIfTrue="1" operator="equal">
      <formula>"Done"</formula>
    </cfRule>
    <cfRule type="cellIs" dxfId="12" priority="15" stopIfTrue="1" operator="equal">
      <formula>"Ongoing"</formula>
    </cfRule>
  </conditionalFormatting>
  <conditionalFormatting sqref="F43">
    <cfRule type="cellIs" dxfId="11" priority="10" stopIfTrue="1" operator="equal">
      <formula>"Delayed"</formula>
    </cfRule>
    <cfRule type="cellIs" dxfId="10" priority="11" stopIfTrue="1" operator="equal">
      <formula>"Done"</formula>
    </cfRule>
    <cfRule type="cellIs" dxfId="9" priority="12" stopIfTrue="1" operator="equal">
      <formula>"Ongoing"</formula>
    </cfRule>
  </conditionalFormatting>
  <conditionalFormatting sqref="F45">
    <cfRule type="cellIs" dxfId="8" priority="7" stopIfTrue="1" operator="equal">
      <formula>"Delayed"</formula>
    </cfRule>
    <cfRule type="cellIs" dxfId="7" priority="8" stopIfTrue="1" operator="equal">
      <formula>"Done"</formula>
    </cfRule>
    <cfRule type="cellIs" dxfId="6" priority="9" stopIfTrue="1" operator="equal">
      <formula>"Ongoing"</formula>
    </cfRule>
  </conditionalFormatting>
  <conditionalFormatting sqref="F47">
    <cfRule type="cellIs" dxfId="5" priority="4" stopIfTrue="1" operator="equal">
      <formula>"Delayed"</formula>
    </cfRule>
    <cfRule type="cellIs" dxfId="4" priority="5" stopIfTrue="1" operator="equal">
      <formula>"Done"</formula>
    </cfRule>
    <cfRule type="cellIs" dxfId="3" priority="6" stopIfTrue="1" operator="equal">
      <formula>"Ongoing"</formula>
    </cfRule>
  </conditionalFormatting>
  <conditionalFormatting sqref="F49">
    <cfRule type="cellIs" dxfId="2" priority="1" stopIfTrue="1" operator="equal">
      <formula>"Delayed"</formula>
    </cfRule>
    <cfRule type="cellIs" dxfId="1" priority="2" stopIfTrue="1" operator="equal">
      <formula>"Done"</formula>
    </cfRule>
    <cfRule type="cellIs" dxfId="0" priority="3" stopIfTrue="1" operator="equal">
      <formula>"Ongoing"</formula>
    </cfRule>
  </conditionalFormatting>
  <dataValidations count="2">
    <dataValidation type="list" allowBlank="1" showInputMessage="1" showErrorMessage="1" sqref="B5:B34 B36:B65493" xr:uid="{1E33270C-BE55-47B6-8A07-065F8D4C5F5E}">
      <formula1>"Requirements, Design, Development, Testing, Preparation, Coordination, Documentation, Interfaces, Delivery"</formula1>
    </dataValidation>
    <dataValidation type="list" allowBlank="1" showInputMessage="1" showErrorMessage="1" sqref="F5:F65493" xr:uid="{943B3B06-40E2-4313-B81C-191B695C0C43}">
      <formula1>"Planned, Ongoing, Delayed, Done"</formula1>
    </dataValidation>
  </dataValidations>
  <hyperlinks>
    <hyperlink ref="A6" location="Instructions!A1" display="    See Instructions sheet for usage" xr:uid="{CBCAAE0B-212B-4BAD-8540-DA2C21D78113}"/>
  </hyperlinks>
  <printOptions gridLines="1"/>
  <pageMargins left="0.75" right="0.75" top="1" bottom="1" header="0.5" footer="0.5"/>
  <pageSetup scale="70" orientation="landscape" horizontalDpi="400" verticalDpi="400"/>
  <headerFooter alignWithMargins="0">
    <oddHeader>&amp;LEdit the Header with Your Team ID&amp;C&amp;F&amp;R&amp;D</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RIT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swami</dc:creator>
  <cp:keywords/>
  <dc:description/>
  <cp:lastModifiedBy>X</cp:lastModifiedBy>
  <cp:revision/>
  <dcterms:created xsi:type="dcterms:W3CDTF">2003-08-12T18:15:36Z</dcterms:created>
  <dcterms:modified xsi:type="dcterms:W3CDTF">2026-04-13T06:53:40Z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D903BB5AB3F54C48B9599329F2FF3B79_12</vt:lpwstr>
  </property>
  <property fmtid="{D5CDD505-2E9C-101B-9397-08002B2CF9AE}" pid="3" name="KSOProductBuildVer">
    <vt:lpwstr>1033-12.2.0.23196</vt:lpwstr>
  </property>
</Properties>
</file>